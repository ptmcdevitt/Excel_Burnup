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01" codeName="{530CD6A5-0E62-55A6-17B6-8EE4857F3A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trick\Documents\Excel_Burnup\"/>
    </mc:Choice>
  </mc:AlternateContent>
  <bookViews>
    <workbookView xWindow="0" yWindow="0" windowWidth="21600" windowHeight="11800" tabRatio="818" firstSheet="1" activeTab="3"/>
  </bookViews>
  <sheets>
    <sheet name="Stories Done" sheetId="16" r:id="rId1"/>
    <sheet name="Weekly Throughput" sheetId="15" r:id="rId2"/>
    <sheet name="Publish" sheetId="21" r:id="rId3"/>
    <sheet name="Sheet1" sheetId="25" r:id="rId4"/>
    <sheet name="Chart_Data_Sheet" sheetId="20" r:id="rId5"/>
    <sheet name="GWIPP2_01" sheetId="23" r:id="rId6"/>
    <sheet name="Weekly Throughput (2)" sheetId="24" r:id="rId7"/>
  </sheets>
  <functionGroups builtInGroupCount="18"/>
  <definedNames>
    <definedName name="Chart_Accumulated_Scope" localSheetId="6">OFFSET('Weekly Throughput (2)'!$D$5,,,COUNTIF('Weekly Throughput (2)'!$D$5:$D$113,"&lt;&gt;"))</definedName>
    <definedName name="Chart_Accumulated_Scope">OFFSET('Weekly Throughput'!$D$5,,,COUNTIF('Weekly Throughput'!$D$5:$D$113,"&lt;&gt;"))</definedName>
    <definedName name="Chart_Accumulated_Throughput" localSheetId="6">OFFSET('Weekly Throughput (2)'!$J$5,,,COUNTIF('Weekly Throughput (2)'!$J$5:$J$113,"&lt;&gt;"))</definedName>
    <definedName name="Chart_Accumulated_Throughput">OFFSET('Weekly Throughput'!$J$5,,,COUNTIF('Weekly Throughput'!$J$5:$J$113,"&lt;&gt;"))</definedName>
    <definedName name="Chart_Optimistic" localSheetId="6">OFFSET('Weekly Throughput (2)'!$M$5,,,COUNTIF('Weekly Throughput (2)'!$M$5:$M$113,"&lt;&gt;"))</definedName>
    <definedName name="Chart_Optimistic">OFFSET('Weekly Throughput'!$M$5,,,COUNTIF('Weekly Throughput'!$M$5:$M$113,"&lt;&gt;"))</definedName>
    <definedName name="Chart_Pessimistic" localSheetId="6">OFFSET('Weekly Throughput (2)'!$L$5,,,COUNTIF('Weekly Throughput (2)'!$L$5:$L$113,"&lt;&gt;"))</definedName>
    <definedName name="Chart_Pessimistic">OFFSET('Weekly Throughput'!$L$5,,,COUNTIF('Weekly Throughput'!$L$5:$L$113,"&lt;&gt;"))</definedName>
    <definedName name="Chart_Projected_Scope" localSheetId="6">OFFSET('Weekly Throughput (2)'!$E$5,,,COUNTIF('Weekly Throughput (2)'!$E$5:$E$113,"&lt;&gt;"))</definedName>
    <definedName name="Chart_Projected_Scope">OFFSET('Weekly Throughput'!$E$5,,,COUNTIF('Weekly Throughput'!$E$5:$E$113,"&lt;&gt;"))</definedName>
    <definedName name="Chart_Projected_Throughput" localSheetId="6">OFFSET('Weekly Throughput (2)'!$K$5,,,COUNTIF('Weekly Throughput (2)'!$K$5:$K$113,"&lt;&gt;"))</definedName>
    <definedName name="Chart_Projected_Throughput">OFFSET('Weekly Throughput'!$K$5,,,COUNTIF('Weekly Throughput'!$K$5:$K$113,"&lt;&gt;"))</definedName>
    <definedName name="Chart_TP_Data" comment="The set of quantity of cards or issue completed for a week">Chart_Data_Sheet!$A$1:$A$400</definedName>
    <definedName name="Optimistic" localSheetId="6">OFFSET('Weekly Throughput (2)'!XFA1048572:XFA104,,,)</definedName>
    <definedName name="Optimistic">OFFSET('Weekly Throughput'!XFA1048572:XFA104,,,)</definedName>
    <definedName name="Pessimistic" localSheetId="6">OFFSET('Weekly Throughput (2)'!XEZ1048573:XEZ105,,,,)</definedName>
    <definedName name="Pessimistic">OFFSET('Weekly Throughput'!XEZ1048573:XEZ105,,,,)</definedName>
    <definedName name="_xlnm.Print_Area" localSheetId="0">'Stories Done'!$A$1:$N$21</definedName>
  </definedNames>
  <calcPr calcId="171027"/>
</workbook>
</file>

<file path=xl/calcChain.xml><?xml version="1.0" encoding="utf-8"?>
<calcChain xmlns="http://schemas.openxmlformats.org/spreadsheetml/2006/main">
  <c r="J14" i="15" l="1"/>
  <c r="D14" i="15"/>
  <c r="J13" i="15"/>
  <c r="D13" i="15"/>
  <c r="J12" i="15"/>
  <c r="D12" i="15"/>
  <c r="J11" i="15"/>
  <c r="D11" i="15"/>
  <c r="J10" i="15"/>
  <c r="D10" i="15"/>
  <c r="J9" i="15"/>
  <c r="D9" i="15"/>
  <c r="J8" i="15"/>
  <c r="D8" i="15"/>
  <c r="J7" i="15"/>
  <c r="D7" i="15"/>
  <c r="J6" i="15"/>
  <c r="D6" i="15"/>
  <c r="J114" i="15"/>
  <c r="D114" i="15"/>
  <c r="X115" i="15"/>
  <c r="T115" i="15"/>
  <c r="S115" i="15"/>
  <c r="O115" i="15"/>
  <c r="V115" i="15" s="1"/>
  <c r="J115" i="15"/>
  <c r="G115" i="15"/>
  <c r="D115" i="15"/>
  <c r="S114" i="15"/>
  <c r="O114" i="15"/>
  <c r="G114" i="15"/>
  <c r="S113" i="15"/>
  <c r="H113" i="15"/>
  <c r="G113" i="15"/>
  <c r="C113" i="15"/>
  <c r="S112" i="15"/>
  <c r="H112" i="15"/>
  <c r="G112" i="15"/>
  <c r="C112" i="15"/>
  <c r="S111" i="15"/>
  <c r="H111" i="15"/>
  <c r="G111" i="15"/>
  <c r="C111" i="15"/>
  <c r="S110" i="15"/>
  <c r="H110" i="15"/>
  <c r="G110" i="15"/>
  <c r="C110" i="15"/>
  <c r="S109" i="15"/>
  <c r="H109" i="15"/>
  <c r="G109" i="15"/>
  <c r="C109" i="15"/>
  <c r="S108" i="15"/>
  <c r="H108" i="15"/>
  <c r="G108" i="15"/>
  <c r="C108" i="15"/>
  <c r="S107" i="15"/>
  <c r="H107" i="15"/>
  <c r="G107" i="15"/>
  <c r="C107" i="15"/>
  <c r="S106" i="15"/>
  <c r="H106" i="15"/>
  <c r="G106" i="15"/>
  <c r="C106" i="15"/>
  <c r="S105" i="15"/>
  <c r="H105" i="15"/>
  <c r="G105" i="15"/>
  <c r="C105" i="15"/>
  <c r="S104" i="15"/>
  <c r="H104" i="15"/>
  <c r="G104" i="15"/>
  <c r="C104" i="15"/>
  <c r="S103" i="15"/>
  <c r="H103" i="15"/>
  <c r="G103" i="15"/>
  <c r="C103" i="15"/>
  <c r="S102" i="15"/>
  <c r="H102" i="15"/>
  <c r="G102" i="15"/>
  <c r="C102" i="15"/>
  <c r="S101" i="15"/>
  <c r="H101" i="15"/>
  <c r="G101" i="15"/>
  <c r="C101" i="15"/>
  <c r="S100" i="15"/>
  <c r="H100" i="15"/>
  <c r="G100" i="15"/>
  <c r="C100" i="15"/>
  <c r="S99" i="15"/>
  <c r="H99" i="15"/>
  <c r="G99" i="15"/>
  <c r="C99" i="15"/>
  <c r="S98" i="15"/>
  <c r="H98" i="15"/>
  <c r="G98" i="15"/>
  <c r="C98" i="15"/>
  <c r="S97" i="15"/>
  <c r="H97" i="15"/>
  <c r="G97" i="15"/>
  <c r="C97" i="15"/>
  <c r="S96" i="15"/>
  <c r="H96" i="15"/>
  <c r="G96" i="15"/>
  <c r="C96" i="15"/>
  <c r="S95" i="15"/>
  <c r="H95" i="15"/>
  <c r="G95" i="15"/>
  <c r="C95" i="15"/>
  <c r="S94" i="15"/>
  <c r="H94" i="15"/>
  <c r="G94" i="15"/>
  <c r="C94" i="15"/>
  <c r="S93" i="15"/>
  <c r="H93" i="15"/>
  <c r="G93" i="15"/>
  <c r="C93" i="15"/>
  <c r="S92" i="15"/>
  <c r="H92" i="15"/>
  <c r="G92" i="15"/>
  <c r="C92" i="15"/>
  <c r="S91" i="15"/>
  <c r="H91" i="15"/>
  <c r="G91" i="15"/>
  <c r="C91" i="15"/>
  <c r="S90" i="15"/>
  <c r="H90" i="15"/>
  <c r="G90" i="15"/>
  <c r="C90" i="15"/>
  <c r="S89" i="15"/>
  <c r="H89" i="15"/>
  <c r="G89" i="15"/>
  <c r="C89" i="15"/>
  <c r="S88" i="15"/>
  <c r="H88" i="15"/>
  <c r="G88" i="15"/>
  <c r="C88" i="15"/>
  <c r="S87" i="15"/>
  <c r="H87" i="15"/>
  <c r="G87" i="15"/>
  <c r="C87" i="15"/>
  <c r="S86" i="15"/>
  <c r="H86" i="15"/>
  <c r="G86" i="15"/>
  <c r="C86" i="15"/>
  <c r="X85" i="15"/>
  <c r="S85" i="15"/>
  <c r="H85" i="15"/>
  <c r="G85" i="15"/>
  <c r="C85" i="15"/>
  <c r="S84" i="15"/>
  <c r="H84" i="15"/>
  <c r="G84" i="15"/>
  <c r="C84" i="15"/>
  <c r="S83" i="15"/>
  <c r="H83" i="15"/>
  <c r="G83" i="15"/>
  <c r="C83" i="15"/>
  <c r="S82" i="15"/>
  <c r="H82" i="15"/>
  <c r="G82" i="15"/>
  <c r="C82" i="15"/>
  <c r="S81" i="15"/>
  <c r="H81" i="15"/>
  <c r="G81" i="15"/>
  <c r="C81" i="15"/>
  <c r="S80" i="15"/>
  <c r="H80" i="15"/>
  <c r="G80" i="15"/>
  <c r="C80" i="15"/>
  <c r="S79" i="15"/>
  <c r="H79" i="15"/>
  <c r="G79" i="15"/>
  <c r="C79" i="15"/>
  <c r="S78" i="15"/>
  <c r="H78" i="15"/>
  <c r="G78" i="15"/>
  <c r="C78" i="15"/>
  <c r="S77" i="15"/>
  <c r="H77" i="15"/>
  <c r="G77" i="15"/>
  <c r="C77" i="15"/>
  <c r="S76" i="15"/>
  <c r="H76" i="15"/>
  <c r="G76" i="15"/>
  <c r="C76" i="15"/>
  <c r="S75" i="15"/>
  <c r="H75" i="15"/>
  <c r="G75" i="15"/>
  <c r="C75" i="15"/>
  <c r="S74" i="15"/>
  <c r="H74" i="15"/>
  <c r="G74" i="15"/>
  <c r="C74" i="15"/>
  <c r="S73" i="15"/>
  <c r="H73" i="15"/>
  <c r="G73" i="15"/>
  <c r="C73" i="15"/>
  <c r="S72" i="15"/>
  <c r="H72" i="15"/>
  <c r="G72" i="15"/>
  <c r="C72" i="15"/>
  <c r="S71" i="15"/>
  <c r="H71" i="15"/>
  <c r="G71" i="15"/>
  <c r="C71" i="15"/>
  <c r="S70" i="15"/>
  <c r="H70" i="15"/>
  <c r="G70" i="15"/>
  <c r="C70" i="15"/>
  <c r="S69" i="15"/>
  <c r="H69" i="15"/>
  <c r="G69" i="15"/>
  <c r="C69" i="15"/>
  <c r="S68" i="15"/>
  <c r="H68" i="15"/>
  <c r="G68" i="15"/>
  <c r="C68" i="15"/>
  <c r="S67" i="15"/>
  <c r="H67" i="15"/>
  <c r="G67" i="15"/>
  <c r="C67" i="15"/>
  <c r="S66" i="15"/>
  <c r="H66" i="15"/>
  <c r="G66" i="15"/>
  <c r="C66" i="15"/>
  <c r="S65" i="15"/>
  <c r="H65" i="15"/>
  <c r="G65" i="15"/>
  <c r="C65" i="15"/>
  <c r="S64" i="15"/>
  <c r="H64" i="15"/>
  <c r="G64" i="15"/>
  <c r="C64" i="15"/>
  <c r="S63" i="15"/>
  <c r="H63" i="15"/>
  <c r="G63" i="15"/>
  <c r="C63" i="15"/>
  <c r="S62" i="15"/>
  <c r="H62" i="15"/>
  <c r="G62" i="15"/>
  <c r="C62" i="15"/>
  <c r="S61" i="15"/>
  <c r="H61" i="15"/>
  <c r="G61" i="15"/>
  <c r="C61" i="15"/>
  <c r="S60" i="15"/>
  <c r="H60" i="15"/>
  <c r="G60" i="15"/>
  <c r="C60" i="15"/>
  <c r="S59" i="15"/>
  <c r="H59" i="15"/>
  <c r="G59" i="15"/>
  <c r="C59" i="15"/>
  <c r="S58" i="15"/>
  <c r="H58" i="15"/>
  <c r="G58" i="15"/>
  <c r="C58" i="15"/>
  <c r="S57" i="15"/>
  <c r="H57" i="15"/>
  <c r="G57" i="15"/>
  <c r="C57" i="15"/>
  <c r="S56" i="15"/>
  <c r="H56" i="15"/>
  <c r="G56" i="15"/>
  <c r="C56" i="15"/>
  <c r="S55" i="15"/>
  <c r="H55" i="15"/>
  <c r="G55" i="15"/>
  <c r="C55" i="15"/>
  <c r="S54" i="15"/>
  <c r="H54" i="15"/>
  <c r="G54" i="15"/>
  <c r="C54" i="15"/>
  <c r="S53" i="15"/>
  <c r="H53" i="15"/>
  <c r="G53" i="15"/>
  <c r="C53" i="15"/>
  <c r="S52" i="15"/>
  <c r="H52" i="15"/>
  <c r="G52" i="15"/>
  <c r="C52" i="15"/>
  <c r="S51" i="15"/>
  <c r="H51" i="15"/>
  <c r="G51" i="15"/>
  <c r="C51" i="15"/>
  <c r="S50" i="15"/>
  <c r="H50" i="15"/>
  <c r="G50" i="15"/>
  <c r="C50" i="15"/>
  <c r="S49" i="15"/>
  <c r="H49" i="15"/>
  <c r="G49" i="15"/>
  <c r="C49" i="15"/>
  <c r="S48" i="15"/>
  <c r="H48" i="15"/>
  <c r="G48" i="15"/>
  <c r="C48" i="15"/>
  <c r="S47" i="15"/>
  <c r="H47" i="15"/>
  <c r="G47" i="15"/>
  <c r="C47" i="15"/>
  <c r="S46" i="15"/>
  <c r="H46" i="15"/>
  <c r="G46" i="15"/>
  <c r="C46" i="15"/>
  <c r="S45" i="15"/>
  <c r="H45" i="15"/>
  <c r="G45" i="15"/>
  <c r="C45" i="15"/>
  <c r="S44" i="15"/>
  <c r="H44" i="15"/>
  <c r="G44" i="15"/>
  <c r="C44" i="15"/>
  <c r="S43" i="15"/>
  <c r="H43" i="15"/>
  <c r="G43" i="15"/>
  <c r="C43" i="15"/>
  <c r="S42" i="15"/>
  <c r="H42" i="15"/>
  <c r="G42" i="15"/>
  <c r="C42" i="15"/>
  <c r="S41" i="15"/>
  <c r="H41" i="15"/>
  <c r="G41" i="15"/>
  <c r="C41" i="15"/>
  <c r="S40" i="15"/>
  <c r="H40" i="15"/>
  <c r="G40" i="15"/>
  <c r="C40" i="15"/>
  <c r="S39" i="15"/>
  <c r="H39" i="15"/>
  <c r="G39" i="15"/>
  <c r="C39" i="15"/>
  <c r="S38" i="15"/>
  <c r="H38" i="15"/>
  <c r="G38" i="15"/>
  <c r="C38" i="15"/>
  <c r="S37" i="15"/>
  <c r="H37" i="15"/>
  <c r="G37" i="15"/>
  <c r="C37" i="15"/>
  <c r="S36" i="15"/>
  <c r="H36" i="15"/>
  <c r="G36" i="15"/>
  <c r="C36" i="15"/>
  <c r="S35" i="15"/>
  <c r="H35" i="15"/>
  <c r="G35" i="15"/>
  <c r="C35" i="15"/>
  <c r="S34" i="15"/>
  <c r="H34" i="15"/>
  <c r="G34" i="15"/>
  <c r="C34" i="15"/>
  <c r="S33" i="15"/>
  <c r="H33" i="15"/>
  <c r="G33" i="15"/>
  <c r="C33" i="15"/>
  <c r="S32" i="15"/>
  <c r="H32" i="15"/>
  <c r="G32" i="15"/>
  <c r="C32" i="15"/>
  <c r="S31" i="15"/>
  <c r="H31" i="15"/>
  <c r="G31" i="15"/>
  <c r="C31" i="15"/>
  <c r="S30" i="15"/>
  <c r="H30" i="15"/>
  <c r="G30" i="15"/>
  <c r="C30" i="15"/>
  <c r="S29" i="15"/>
  <c r="H29" i="15"/>
  <c r="G29" i="15"/>
  <c r="C29" i="15"/>
  <c r="S28" i="15"/>
  <c r="H28" i="15"/>
  <c r="G28" i="15"/>
  <c r="C28" i="15"/>
  <c r="S27" i="15"/>
  <c r="H27" i="15"/>
  <c r="G27" i="15"/>
  <c r="C27" i="15"/>
  <c r="S26" i="15"/>
  <c r="H26" i="15"/>
  <c r="G26" i="15"/>
  <c r="C26" i="15"/>
  <c r="S25" i="15"/>
  <c r="H25" i="15"/>
  <c r="G25" i="15"/>
  <c r="C25" i="15"/>
  <c r="S24" i="15"/>
  <c r="H24" i="15"/>
  <c r="G24" i="15"/>
  <c r="C24" i="15"/>
  <c r="S23" i="15"/>
  <c r="H23" i="15"/>
  <c r="G23" i="15"/>
  <c r="C23" i="15"/>
  <c r="S22" i="15"/>
  <c r="H22" i="15"/>
  <c r="G22" i="15"/>
  <c r="C22" i="15"/>
  <c r="S21" i="15"/>
  <c r="H21" i="15"/>
  <c r="G21" i="15"/>
  <c r="C21" i="15"/>
  <c r="S20" i="15"/>
  <c r="H20" i="15"/>
  <c r="G20" i="15"/>
  <c r="C20" i="15"/>
  <c r="S19" i="15"/>
  <c r="H19" i="15"/>
  <c r="G19" i="15"/>
  <c r="C19" i="15"/>
  <c r="S18" i="15"/>
  <c r="H18" i="15"/>
  <c r="G18" i="15"/>
  <c r="C18" i="15"/>
  <c r="S17" i="15"/>
  <c r="H17" i="15"/>
  <c r="G17" i="15"/>
  <c r="C17" i="15"/>
  <c r="S16" i="15"/>
  <c r="H16" i="15"/>
  <c r="G16" i="15"/>
  <c r="C16" i="15"/>
  <c r="S15" i="15"/>
  <c r="H15" i="15"/>
  <c r="G15" i="15"/>
  <c r="C15" i="15"/>
  <c r="S14" i="15"/>
  <c r="G14" i="15"/>
  <c r="H14" i="15" s="1"/>
  <c r="C14" i="15"/>
  <c r="S13" i="15"/>
  <c r="H13" i="15"/>
  <c r="G13" i="15"/>
  <c r="C13" i="15"/>
  <c r="S12" i="15"/>
  <c r="H12" i="15"/>
  <c r="G12" i="15"/>
  <c r="C12" i="15"/>
  <c r="S11" i="15"/>
  <c r="G11" i="15"/>
  <c r="H11" i="15" s="1"/>
  <c r="C11" i="15"/>
  <c r="S10" i="15"/>
  <c r="H10" i="15"/>
  <c r="G10" i="15"/>
  <c r="C10" i="15"/>
  <c r="S9" i="15"/>
  <c r="H9" i="15"/>
  <c r="G9" i="15"/>
  <c r="C9" i="15"/>
  <c r="S8" i="15"/>
  <c r="H8" i="15"/>
  <c r="G8" i="15"/>
  <c r="C8" i="15"/>
  <c r="S7" i="15"/>
  <c r="H7" i="15"/>
  <c r="G7" i="15"/>
  <c r="C7" i="15"/>
  <c r="S6" i="15"/>
  <c r="H6" i="15"/>
  <c r="G6" i="15"/>
  <c r="C6" i="15"/>
  <c r="X5" i="15"/>
  <c r="W5" i="15"/>
  <c r="S5" i="15"/>
  <c r="J5" i="15"/>
  <c r="H5" i="15"/>
  <c r="G5" i="15"/>
  <c r="D5" i="15"/>
  <c r="C5" i="15"/>
  <c r="L2" i="15" l="1"/>
  <c r="C2" i="15"/>
  <c r="X7" i="15"/>
  <c r="G2" i="15"/>
  <c r="V114" i="15"/>
  <c r="U114" i="15"/>
  <c r="T114" i="15"/>
  <c r="U115" i="15"/>
  <c r="AF19" i="24"/>
  <c r="AD19" i="24"/>
  <c r="AF18" i="24"/>
  <c r="AD18" i="24"/>
  <c r="AF17" i="24"/>
  <c r="AD17" i="24"/>
  <c r="AF16" i="24"/>
  <c r="AD16" i="24"/>
  <c r="AF15" i="24"/>
  <c r="AD15" i="24"/>
  <c r="AF14" i="24"/>
  <c r="AD14" i="24"/>
  <c r="AF13" i="24"/>
  <c r="AD13" i="24"/>
  <c r="AF12" i="24"/>
  <c r="AD12" i="24"/>
  <c r="AF11" i="24"/>
  <c r="AD11" i="24"/>
  <c r="AF10" i="24"/>
  <c r="AD10" i="24"/>
  <c r="AF9" i="24"/>
  <c r="AD9" i="24"/>
  <c r="AF8" i="24"/>
  <c r="AD8" i="24"/>
  <c r="AF7" i="24"/>
  <c r="AD7" i="24"/>
  <c r="AF6" i="24"/>
  <c r="AD6" i="24"/>
  <c r="AF5" i="24"/>
  <c r="AD5" i="24"/>
  <c r="E114" i="15" l="1"/>
  <c r="E115" i="15" s="1"/>
  <c r="E14" i="15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39" i="15" s="1"/>
  <c r="E40" i="15" s="1"/>
  <c r="E41" i="15" s="1"/>
  <c r="E42" i="15" s="1"/>
  <c r="E43" i="15" s="1"/>
  <c r="E44" i="15" s="1"/>
  <c r="E45" i="15" s="1"/>
  <c r="E46" i="15" s="1"/>
  <c r="E47" i="15" s="1"/>
  <c r="E48" i="15" s="1"/>
  <c r="E49" i="15" s="1"/>
  <c r="E50" i="15" s="1"/>
  <c r="E51" i="15" s="1"/>
  <c r="E52" i="15" s="1"/>
  <c r="E53" i="15" s="1"/>
  <c r="E54" i="15" s="1"/>
  <c r="E55" i="15" s="1"/>
  <c r="E56" i="15" s="1"/>
  <c r="E57" i="15" s="1"/>
  <c r="E58" i="15" s="1"/>
  <c r="E59" i="15" s="1"/>
  <c r="E60" i="15" s="1"/>
  <c r="E61" i="15" s="1"/>
  <c r="E62" i="15" s="1"/>
  <c r="E63" i="15" s="1"/>
  <c r="E64" i="15" s="1"/>
  <c r="E65" i="15" s="1"/>
  <c r="E66" i="15" s="1"/>
  <c r="E67" i="15" s="1"/>
  <c r="E68" i="15" s="1"/>
  <c r="E69" i="15" s="1"/>
  <c r="E70" i="15" s="1"/>
  <c r="E71" i="15" s="1"/>
  <c r="E72" i="15" s="1"/>
  <c r="E73" i="15" s="1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E88" i="15" s="1"/>
  <c r="E89" i="15" s="1"/>
  <c r="E90" i="15" s="1"/>
  <c r="E91" i="15" s="1"/>
  <c r="E92" i="15" s="1"/>
  <c r="E93" i="15" s="1"/>
  <c r="E94" i="15" s="1"/>
  <c r="E95" i="15" s="1"/>
  <c r="E96" i="15" s="1"/>
  <c r="E97" i="15" s="1"/>
  <c r="E98" i="15" s="1"/>
  <c r="E99" i="15" s="1"/>
  <c r="E100" i="15" s="1"/>
  <c r="E101" i="15" s="1"/>
  <c r="E102" i="15" s="1"/>
  <c r="E103" i="15" s="1"/>
  <c r="E104" i="15" s="1"/>
  <c r="E105" i="15" s="1"/>
  <c r="E106" i="15" s="1"/>
  <c r="E107" i="15" s="1"/>
  <c r="E108" i="15" s="1"/>
  <c r="E109" i="15" s="1"/>
  <c r="E110" i="15" s="1"/>
  <c r="E111" i="15" s="1"/>
  <c r="E112" i="15" s="1"/>
  <c r="E113" i="15" s="1"/>
  <c r="AC18" i="15"/>
  <c r="AC16" i="15"/>
  <c r="AA15" i="15"/>
  <c r="AA14" i="15"/>
  <c r="AA13" i="15"/>
  <c r="AA12" i="15"/>
  <c r="AA11" i="15"/>
  <c r="AA10" i="15"/>
  <c r="AA9" i="15"/>
  <c r="AA8" i="15"/>
  <c r="AA7" i="15"/>
  <c r="AC17" i="15"/>
  <c r="AA18" i="15"/>
  <c r="AJ11" i="15"/>
  <c r="AJ6" i="15"/>
  <c r="Y18" i="15"/>
  <c r="Y17" i="15"/>
  <c r="Y16" i="15"/>
  <c r="Y14" i="15"/>
  <c r="Y13" i="15"/>
  <c r="Y12" i="15"/>
  <c r="Y10" i="15"/>
  <c r="Y9" i="15"/>
  <c r="Y8" i="15"/>
  <c r="Y6" i="15"/>
  <c r="Y5" i="15"/>
  <c r="AJ16" i="15"/>
  <c r="AJ15" i="15"/>
  <c r="AJ14" i="15"/>
  <c r="AJ12" i="15"/>
  <c r="AJ10" i="15"/>
  <c r="AJ9" i="15"/>
  <c r="AJ17" i="15"/>
  <c r="AJ18" i="15"/>
  <c r="AJ19" i="15"/>
  <c r="AJ8" i="15"/>
  <c r="AJ7" i="15"/>
  <c r="AJ5" i="15"/>
  <c r="AA19" i="15"/>
  <c r="AA17" i="15"/>
  <c r="AA16" i="15"/>
  <c r="Q5" i="15" l="1"/>
  <c r="R5" i="15"/>
  <c r="P5" i="15"/>
  <c r="Y7" i="15"/>
  <c r="Y11" i="15"/>
  <c r="Y15" i="15"/>
  <c r="Y19" i="15"/>
  <c r="AC6" i="15"/>
  <c r="AC5" i="15"/>
  <c r="AA6" i="15"/>
  <c r="AA5" i="15"/>
  <c r="AH16" i="15"/>
  <c r="AH12" i="15"/>
  <c r="AH8" i="15"/>
  <c r="AH19" i="15"/>
  <c r="AH15" i="15"/>
  <c r="AH11" i="15"/>
  <c r="AH7" i="15"/>
  <c r="AH18" i="15"/>
  <c r="AH14" i="15"/>
  <c r="AH10" i="15"/>
  <c r="AH6" i="15"/>
  <c r="AH17" i="15"/>
  <c r="AH13" i="15"/>
  <c r="AH9" i="15"/>
  <c r="AH5" i="15"/>
  <c r="AC15" i="15"/>
  <c r="AC19" i="15"/>
  <c r="AJ13" i="15"/>
  <c r="AF19" i="15"/>
  <c r="AD19" i="15"/>
  <c r="AF18" i="15"/>
  <c r="AD18" i="15"/>
  <c r="AF17" i="15"/>
  <c r="AD17" i="15"/>
  <c r="AB17" i="15"/>
  <c r="AF16" i="15"/>
  <c r="AD16" i="15"/>
  <c r="AF15" i="15"/>
  <c r="AD15" i="15"/>
  <c r="AF14" i="15"/>
  <c r="AD14" i="15"/>
  <c r="AF13" i="15"/>
  <c r="AD13" i="15"/>
  <c r="AF12" i="15"/>
  <c r="AD12" i="15"/>
  <c r="AF11" i="15"/>
  <c r="AD11" i="15"/>
  <c r="AF10" i="15"/>
  <c r="AD10" i="15"/>
  <c r="AF9" i="15"/>
  <c r="AD9" i="15"/>
  <c r="AF8" i="15"/>
  <c r="AD8" i="15"/>
  <c r="AF7" i="15"/>
  <c r="AD7" i="15"/>
  <c r="AF6" i="15"/>
  <c r="AD6" i="15"/>
  <c r="AD5" i="15"/>
  <c r="AF5" i="15"/>
  <c r="AB18" i="15"/>
  <c r="AB16" i="15"/>
  <c r="AB6" i="15"/>
  <c r="AB5" i="15"/>
  <c r="P6" i="15" l="1"/>
  <c r="R6" i="15"/>
  <c r="F5" i="15"/>
  <c r="Q6" i="15"/>
  <c r="AC7" i="15"/>
  <c r="Z17" i="15"/>
  <c r="Z13" i="15"/>
  <c r="Z9" i="15"/>
  <c r="Z5" i="15"/>
  <c r="Z16" i="15"/>
  <c r="Z12" i="15"/>
  <c r="Z8" i="15"/>
  <c r="Z19" i="15"/>
  <c r="Z11" i="15"/>
  <c r="Z14" i="15"/>
  <c r="Z6" i="15"/>
  <c r="Z18" i="15"/>
  <c r="Z10" i="15"/>
  <c r="Z15" i="15"/>
  <c r="Z7" i="15"/>
  <c r="AB7" i="15"/>
  <c r="AB15" i="15"/>
  <c r="AB19" i="15"/>
  <c r="X85" i="24"/>
  <c r="T5" i="15" l="1"/>
  <c r="V5" i="15"/>
  <c r="U5" i="15"/>
  <c r="P7" i="15"/>
  <c r="R7" i="15"/>
  <c r="F6" i="15"/>
  <c r="Q7" i="15"/>
  <c r="AC8" i="15"/>
  <c r="AB8" i="15"/>
  <c r="AB9" i="15"/>
  <c r="X115" i="24"/>
  <c r="R8" i="15" l="1"/>
  <c r="Q8" i="15"/>
  <c r="P8" i="15"/>
  <c r="T6" i="15"/>
  <c r="U6" i="15"/>
  <c r="V6" i="15"/>
  <c r="F7" i="15"/>
  <c r="AB10" i="15"/>
  <c r="AC9" i="15"/>
  <c r="D114" i="24"/>
  <c r="D115" i="24"/>
  <c r="J114" i="24"/>
  <c r="J115" i="24"/>
  <c r="P9" i="15" l="1"/>
  <c r="R9" i="15"/>
  <c r="V7" i="15"/>
  <c r="U7" i="15"/>
  <c r="T7" i="15"/>
  <c r="F8" i="15"/>
  <c r="Q9" i="15"/>
  <c r="AC10" i="15"/>
  <c r="AB11" i="15"/>
  <c r="D5" i="24"/>
  <c r="Q10" i="15" l="1"/>
  <c r="P10" i="15"/>
  <c r="F9" i="15"/>
  <c r="V8" i="15"/>
  <c r="U8" i="15"/>
  <c r="T8" i="15"/>
  <c r="R10" i="15"/>
  <c r="AC11" i="15"/>
  <c r="AB12" i="15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D51" i="24"/>
  <c r="D50" i="24"/>
  <c r="D49" i="24"/>
  <c r="D48" i="24"/>
  <c r="D47" i="24"/>
  <c r="D46" i="24"/>
  <c r="D45" i="24"/>
  <c r="D44" i="24"/>
  <c r="D43" i="24"/>
  <c r="D42" i="24"/>
  <c r="D41" i="24"/>
  <c r="D40" i="24"/>
  <c r="D39" i="24"/>
  <c r="D38" i="24"/>
  <c r="D37" i="24"/>
  <c r="D36" i="24"/>
  <c r="D35" i="24"/>
  <c r="D34" i="24"/>
  <c r="D33" i="24"/>
  <c r="D32" i="24"/>
  <c r="D31" i="24"/>
  <c r="D30" i="24"/>
  <c r="D29" i="24"/>
  <c r="D28" i="24"/>
  <c r="D27" i="24"/>
  <c r="D26" i="24"/>
  <c r="D25" i="24"/>
  <c r="D24" i="24"/>
  <c r="D23" i="24"/>
  <c r="D22" i="24"/>
  <c r="D21" i="24"/>
  <c r="D20" i="24"/>
  <c r="D19" i="24"/>
  <c r="D18" i="24"/>
  <c r="D17" i="24"/>
  <c r="D16" i="24"/>
  <c r="D15" i="24"/>
  <c r="D14" i="24"/>
  <c r="D13" i="24"/>
  <c r="D12" i="24"/>
  <c r="D11" i="24"/>
  <c r="D10" i="24"/>
  <c r="D9" i="24"/>
  <c r="D8" i="24"/>
  <c r="D7" i="24"/>
  <c r="D6" i="24"/>
  <c r="F10" i="15" l="1"/>
  <c r="P11" i="15"/>
  <c r="R11" i="15"/>
  <c r="U9" i="15"/>
  <c r="T9" i="15"/>
  <c r="V9" i="15"/>
  <c r="Q11" i="15"/>
  <c r="AC12" i="15"/>
  <c r="AB13" i="15"/>
  <c r="S115" i="24"/>
  <c r="G115" i="24"/>
  <c r="S114" i="24"/>
  <c r="G114" i="24"/>
  <c r="S113" i="24"/>
  <c r="J113" i="24"/>
  <c r="H113" i="24"/>
  <c r="G113" i="24"/>
  <c r="C113" i="24"/>
  <c r="S112" i="24"/>
  <c r="J112" i="24"/>
  <c r="H112" i="24"/>
  <c r="G112" i="24"/>
  <c r="C112" i="24"/>
  <c r="S111" i="24"/>
  <c r="J111" i="24"/>
  <c r="H111" i="24"/>
  <c r="G111" i="24"/>
  <c r="C111" i="24"/>
  <c r="S110" i="24"/>
  <c r="J110" i="24"/>
  <c r="H110" i="24"/>
  <c r="G110" i="24"/>
  <c r="C110" i="24"/>
  <c r="S109" i="24"/>
  <c r="J109" i="24"/>
  <c r="H109" i="24"/>
  <c r="G109" i="24"/>
  <c r="C109" i="24"/>
  <c r="S108" i="24"/>
  <c r="J108" i="24"/>
  <c r="H108" i="24"/>
  <c r="G108" i="24"/>
  <c r="C108" i="24"/>
  <c r="S107" i="24"/>
  <c r="J107" i="24"/>
  <c r="H107" i="24"/>
  <c r="G107" i="24"/>
  <c r="C107" i="24"/>
  <c r="S106" i="24"/>
  <c r="J106" i="24"/>
  <c r="H106" i="24"/>
  <c r="G106" i="24"/>
  <c r="C106" i="24"/>
  <c r="S105" i="24"/>
  <c r="J105" i="24"/>
  <c r="H105" i="24"/>
  <c r="G105" i="24"/>
  <c r="C105" i="24"/>
  <c r="S104" i="24"/>
  <c r="J104" i="24"/>
  <c r="H104" i="24"/>
  <c r="G104" i="24"/>
  <c r="C104" i="24"/>
  <c r="S103" i="24"/>
  <c r="J103" i="24"/>
  <c r="H103" i="24"/>
  <c r="G103" i="24"/>
  <c r="C103" i="24"/>
  <c r="S102" i="24"/>
  <c r="J102" i="24"/>
  <c r="H102" i="24"/>
  <c r="G102" i="24"/>
  <c r="C102" i="24"/>
  <c r="S101" i="24"/>
  <c r="J101" i="24"/>
  <c r="H101" i="24"/>
  <c r="G101" i="24"/>
  <c r="C101" i="24"/>
  <c r="S100" i="24"/>
  <c r="J100" i="24"/>
  <c r="H100" i="24"/>
  <c r="G100" i="24"/>
  <c r="C100" i="24"/>
  <c r="S99" i="24"/>
  <c r="J99" i="24"/>
  <c r="H99" i="24"/>
  <c r="G99" i="24"/>
  <c r="C99" i="24"/>
  <c r="S98" i="24"/>
  <c r="J98" i="24"/>
  <c r="H98" i="24"/>
  <c r="G98" i="24"/>
  <c r="C98" i="24"/>
  <c r="S97" i="24"/>
  <c r="J97" i="24"/>
  <c r="H97" i="24"/>
  <c r="G97" i="24"/>
  <c r="C97" i="24"/>
  <c r="S96" i="24"/>
  <c r="J96" i="24"/>
  <c r="H96" i="24"/>
  <c r="G96" i="24"/>
  <c r="C96" i="24"/>
  <c r="S95" i="24"/>
  <c r="J95" i="24"/>
  <c r="H95" i="24"/>
  <c r="G95" i="24"/>
  <c r="C95" i="24"/>
  <c r="S94" i="24"/>
  <c r="J94" i="24"/>
  <c r="H94" i="24"/>
  <c r="G94" i="24"/>
  <c r="C94" i="24"/>
  <c r="S93" i="24"/>
  <c r="J93" i="24"/>
  <c r="H93" i="24"/>
  <c r="G93" i="24"/>
  <c r="C93" i="24"/>
  <c r="S92" i="24"/>
  <c r="J92" i="24"/>
  <c r="H92" i="24"/>
  <c r="G92" i="24"/>
  <c r="C92" i="24"/>
  <c r="S91" i="24"/>
  <c r="J91" i="24"/>
  <c r="H91" i="24"/>
  <c r="G91" i="24"/>
  <c r="C91" i="24"/>
  <c r="S90" i="24"/>
  <c r="J90" i="24"/>
  <c r="H90" i="24"/>
  <c r="G90" i="24"/>
  <c r="C90" i="24"/>
  <c r="S89" i="24"/>
  <c r="J89" i="24"/>
  <c r="H89" i="24"/>
  <c r="G89" i="24"/>
  <c r="C89" i="24"/>
  <c r="S88" i="24"/>
  <c r="J88" i="24"/>
  <c r="H88" i="24"/>
  <c r="G88" i="24"/>
  <c r="C88" i="24"/>
  <c r="S87" i="24"/>
  <c r="J87" i="24"/>
  <c r="H87" i="24"/>
  <c r="G87" i="24"/>
  <c r="C87" i="24"/>
  <c r="S86" i="24"/>
  <c r="J86" i="24"/>
  <c r="H86" i="24"/>
  <c r="G86" i="24"/>
  <c r="C86" i="24"/>
  <c r="S85" i="24"/>
  <c r="J85" i="24"/>
  <c r="H85" i="24"/>
  <c r="G85" i="24"/>
  <c r="C85" i="24"/>
  <c r="S84" i="24"/>
  <c r="J84" i="24"/>
  <c r="H84" i="24"/>
  <c r="G84" i="24"/>
  <c r="C84" i="24"/>
  <c r="S83" i="24"/>
  <c r="J83" i="24"/>
  <c r="H83" i="24"/>
  <c r="G83" i="24"/>
  <c r="C83" i="24"/>
  <c r="S82" i="24"/>
  <c r="J82" i="24"/>
  <c r="H82" i="24"/>
  <c r="G82" i="24"/>
  <c r="C82" i="24"/>
  <c r="S81" i="24"/>
  <c r="J81" i="24"/>
  <c r="H81" i="24"/>
  <c r="G81" i="24"/>
  <c r="C81" i="24"/>
  <c r="S80" i="24"/>
  <c r="J80" i="24"/>
  <c r="H80" i="24"/>
  <c r="G80" i="24"/>
  <c r="C80" i="24"/>
  <c r="S79" i="24"/>
  <c r="J79" i="24"/>
  <c r="H79" i="24"/>
  <c r="G79" i="24"/>
  <c r="C79" i="24"/>
  <c r="S78" i="24"/>
  <c r="J78" i="24"/>
  <c r="H78" i="24"/>
  <c r="G78" i="24"/>
  <c r="C78" i="24"/>
  <c r="S77" i="24"/>
  <c r="J77" i="24"/>
  <c r="H77" i="24"/>
  <c r="G77" i="24"/>
  <c r="C77" i="24"/>
  <c r="S76" i="24"/>
  <c r="J76" i="24"/>
  <c r="H76" i="24"/>
  <c r="G76" i="24"/>
  <c r="C76" i="24"/>
  <c r="S75" i="24"/>
  <c r="J75" i="24"/>
  <c r="H75" i="24"/>
  <c r="G75" i="24"/>
  <c r="C75" i="24"/>
  <c r="S74" i="24"/>
  <c r="J74" i="24"/>
  <c r="H74" i="24"/>
  <c r="G74" i="24"/>
  <c r="C74" i="24"/>
  <c r="S73" i="24"/>
  <c r="J73" i="24"/>
  <c r="H73" i="24"/>
  <c r="G73" i="24"/>
  <c r="C73" i="24"/>
  <c r="S72" i="24"/>
  <c r="J72" i="24"/>
  <c r="H72" i="24"/>
  <c r="G72" i="24"/>
  <c r="C72" i="24"/>
  <c r="S71" i="24"/>
  <c r="J71" i="24"/>
  <c r="H71" i="24"/>
  <c r="G71" i="24"/>
  <c r="C71" i="24"/>
  <c r="S70" i="24"/>
  <c r="J70" i="24"/>
  <c r="H70" i="24"/>
  <c r="G70" i="24"/>
  <c r="C70" i="24"/>
  <c r="S69" i="24"/>
  <c r="J69" i="24"/>
  <c r="H69" i="24"/>
  <c r="G69" i="24"/>
  <c r="C69" i="24"/>
  <c r="S68" i="24"/>
  <c r="J68" i="24"/>
  <c r="H68" i="24"/>
  <c r="G68" i="24"/>
  <c r="C68" i="24"/>
  <c r="S67" i="24"/>
  <c r="J67" i="24"/>
  <c r="H67" i="24"/>
  <c r="G67" i="24"/>
  <c r="C67" i="24"/>
  <c r="S66" i="24"/>
  <c r="J66" i="24"/>
  <c r="H66" i="24"/>
  <c r="G66" i="24"/>
  <c r="C66" i="24"/>
  <c r="S65" i="24"/>
  <c r="J65" i="24"/>
  <c r="H65" i="24"/>
  <c r="G65" i="24"/>
  <c r="C65" i="24"/>
  <c r="S64" i="24"/>
  <c r="J64" i="24"/>
  <c r="H64" i="24"/>
  <c r="G64" i="24"/>
  <c r="C64" i="24"/>
  <c r="S63" i="24"/>
  <c r="J63" i="24"/>
  <c r="H63" i="24"/>
  <c r="G63" i="24"/>
  <c r="C63" i="24"/>
  <c r="S62" i="24"/>
  <c r="J62" i="24"/>
  <c r="H62" i="24"/>
  <c r="G62" i="24"/>
  <c r="C62" i="24"/>
  <c r="S61" i="24"/>
  <c r="J61" i="24"/>
  <c r="H61" i="24"/>
  <c r="G61" i="24"/>
  <c r="C61" i="24"/>
  <c r="S60" i="24"/>
  <c r="J60" i="24"/>
  <c r="H60" i="24"/>
  <c r="G60" i="24"/>
  <c r="C60" i="24"/>
  <c r="S59" i="24"/>
  <c r="J59" i="24"/>
  <c r="H59" i="24"/>
  <c r="G59" i="24"/>
  <c r="C59" i="24"/>
  <c r="S58" i="24"/>
  <c r="J58" i="24"/>
  <c r="H58" i="24"/>
  <c r="G58" i="24"/>
  <c r="C58" i="24"/>
  <c r="S57" i="24"/>
  <c r="J57" i="24"/>
  <c r="H57" i="24"/>
  <c r="G57" i="24"/>
  <c r="C57" i="24"/>
  <c r="S56" i="24"/>
  <c r="J56" i="24"/>
  <c r="H56" i="24"/>
  <c r="G56" i="24"/>
  <c r="C56" i="24"/>
  <c r="S55" i="24"/>
  <c r="J55" i="24"/>
  <c r="H55" i="24"/>
  <c r="G55" i="24"/>
  <c r="C55" i="24"/>
  <c r="S54" i="24"/>
  <c r="J54" i="24"/>
  <c r="H54" i="24"/>
  <c r="G54" i="24"/>
  <c r="C54" i="24"/>
  <c r="S53" i="24"/>
  <c r="J53" i="24"/>
  <c r="H53" i="24"/>
  <c r="G53" i="24"/>
  <c r="C53" i="24"/>
  <c r="S52" i="24"/>
  <c r="J52" i="24"/>
  <c r="H52" i="24"/>
  <c r="G52" i="24"/>
  <c r="C52" i="24"/>
  <c r="S51" i="24"/>
  <c r="J51" i="24"/>
  <c r="H51" i="24"/>
  <c r="G51" i="24"/>
  <c r="C51" i="24"/>
  <c r="S50" i="24"/>
  <c r="J50" i="24"/>
  <c r="H50" i="24"/>
  <c r="G50" i="24"/>
  <c r="C50" i="24"/>
  <c r="S49" i="24"/>
  <c r="J49" i="24"/>
  <c r="H49" i="24"/>
  <c r="G49" i="24"/>
  <c r="C49" i="24"/>
  <c r="S48" i="24"/>
  <c r="J48" i="24"/>
  <c r="H48" i="24"/>
  <c r="G48" i="24"/>
  <c r="C48" i="24"/>
  <c r="S47" i="24"/>
  <c r="J47" i="24"/>
  <c r="H47" i="24"/>
  <c r="G47" i="24"/>
  <c r="C47" i="24"/>
  <c r="S46" i="24"/>
  <c r="J46" i="24"/>
  <c r="H46" i="24"/>
  <c r="G46" i="24"/>
  <c r="C46" i="24"/>
  <c r="S45" i="24"/>
  <c r="J45" i="24"/>
  <c r="H45" i="24"/>
  <c r="G45" i="24"/>
  <c r="C45" i="24"/>
  <c r="S44" i="24"/>
  <c r="J44" i="24"/>
  <c r="H44" i="24"/>
  <c r="G44" i="24"/>
  <c r="C44" i="24"/>
  <c r="S43" i="24"/>
  <c r="J43" i="24"/>
  <c r="H43" i="24"/>
  <c r="G43" i="24"/>
  <c r="C43" i="24"/>
  <c r="S42" i="24"/>
  <c r="J42" i="24"/>
  <c r="H42" i="24"/>
  <c r="G42" i="24"/>
  <c r="C42" i="24"/>
  <c r="S41" i="24"/>
  <c r="J41" i="24"/>
  <c r="H41" i="24"/>
  <c r="G41" i="24"/>
  <c r="C41" i="24"/>
  <c r="S40" i="24"/>
  <c r="J40" i="24"/>
  <c r="H40" i="24"/>
  <c r="G40" i="24"/>
  <c r="C40" i="24"/>
  <c r="S39" i="24"/>
  <c r="J39" i="24"/>
  <c r="H39" i="24"/>
  <c r="G39" i="24"/>
  <c r="C39" i="24"/>
  <c r="S38" i="24"/>
  <c r="J38" i="24"/>
  <c r="H38" i="24"/>
  <c r="G38" i="24"/>
  <c r="C38" i="24"/>
  <c r="S37" i="24"/>
  <c r="J37" i="24"/>
  <c r="H37" i="24"/>
  <c r="G37" i="24"/>
  <c r="C37" i="24"/>
  <c r="S36" i="24"/>
  <c r="J36" i="24"/>
  <c r="H36" i="24"/>
  <c r="G36" i="24"/>
  <c r="C36" i="24"/>
  <c r="S35" i="24"/>
  <c r="J35" i="24"/>
  <c r="H35" i="24"/>
  <c r="G35" i="24"/>
  <c r="C35" i="24"/>
  <c r="S34" i="24"/>
  <c r="J34" i="24"/>
  <c r="H34" i="24"/>
  <c r="G34" i="24"/>
  <c r="C34" i="24"/>
  <c r="S33" i="24"/>
  <c r="J33" i="24"/>
  <c r="H33" i="24"/>
  <c r="G33" i="24"/>
  <c r="C33" i="24"/>
  <c r="S32" i="24"/>
  <c r="J32" i="24"/>
  <c r="H32" i="24"/>
  <c r="G32" i="24"/>
  <c r="C32" i="24"/>
  <c r="S31" i="24"/>
  <c r="J31" i="24"/>
  <c r="H31" i="24"/>
  <c r="G31" i="24"/>
  <c r="C31" i="24"/>
  <c r="S30" i="24"/>
  <c r="J30" i="24"/>
  <c r="H30" i="24"/>
  <c r="G30" i="24"/>
  <c r="C30" i="24"/>
  <c r="S29" i="24"/>
  <c r="J29" i="24"/>
  <c r="H29" i="24"/>
  <c r="G29" i="24"/>
  <c r="C29" i="24"/>
  <c r="S28" i="24"/>
  <c r="J28" i="24"/>
  <c r="H28" i="24"/>
  <c r="G28" i="24"/>
  <c r="C28" i="24"/>
  <c r="S27" i="24"/>
  <c r="J27" i="24"/>
  <c r="H27" i="24"/>
  <c r="G27" i="24"/>
  <c r="C27" i="24"/>
  <c r="S26" i="24"/>
  <c r="J26" i="24"/>
  <c r="H26" i="24"/>
  <c r="G26" i="24"/>
  <c r="C26" i="24"/>
  <c r="S25" i="24"/>
  <c r="J25" i="24"/>
  <c r="H25" i="24"/>
  <c r="G25" i="24"/>
  <c r="C25" i="24"/>
  <c r="S24" i="24"/>
  <c r="J24" i="24"/>
  <c r="H24" i="24"/>
  <c r="G24" i="24"/>
  <c r="C24" i="24"/>
  <c r="S23" i="24"/>
  <c r="J23" i="24"/>
  <c r="H23" i="24"/>
  <c r="G23" i="24"/>
  <c r="C23" i="24"/>
  <c r="S22" i="24"/>
  <c r="J22" i="24"/>
  <c r="H22" i="24"/>
  <c r="G22" i="24"/>
  <c r="C22" i="24"/>
  <c r="S21" i="24"/>
  <c r="J21" i="24"/>
  <c r="H21" i="24"/>
  <c r="G21" i="24"/>
  <c r="C21" i="24"/>
  <c r="S20" i="24"/>
  <c r="J20" i="24"/>
  <c r="H20" i="24"/>
  <c r="G20" i="24"/>
  <c r="C20" i="24"/>
  <c r="S19" i="24"/>
  <c r="J19" i="24"/>
  <c r="H19" i="24"/>
  <c r="AA19" i="24" s="1"/>
  <c r="G19" i="24"/>
  <c r="C19" i="24"/>
  <c r="AJ19" i="24" s="1"/>
  <c r="S18" i="24"/>
  <c r="J18" i="24"/>
  <c r="H18" i="24"/>
  <c r="AA18" i="24" s="1"/>
  <c r="G18" i="24"/>
  <c r="C18" i="24"/>
  <c r="AJ18" i="24" s="1"/>
  <c r="S17" i="24"/>
  <c r="J17" i="24"/>
  <c r="H17" i="24"/>
  <c r="AA17" i="24" s="1"/>
  <c r="G17" i="24"/>
  <c r="C17" i="24"/>
  <c r="AJ17" i="24" s="1"/>
  <c r="S16" i="24"/>
  <c r="J16" i="24"/>
  <c r="H16" i="24"/>
  <c r="AA16" i="24" s="1"/>
  <c r="G16" i="24"/>
  <c r="C16" i="24"/>
  <c r="AJ16" i="24" s="1"/>
  <c r="S15" i="24"/>
  <c r="J15" i="24"/>
  <c r="H15" i="24"/>
  <c r="AA15" i="24" s="1"/>
  <c r="G15" i="24"/>
  <c r="C15" i="24"/>
  <c r="AJ15" i="24" s="1"/>
  <c r="S14" i="24"/>
  <c r="J14" i="24"/>
  <c r="H14" i="24"/>
  <c r="AA14" i="24" s="1"/>
  <c r="G14" i="24"/>
  <c r="C14" i="24"/>
  <c r="AJ14" i="24" s="1"/>
  <c r="S13" i="24"/>
  <c r="J13" i="24"/>
  <c r="H13" i="24"/>
  <c r="AA13" i="24" s="1"/>
  <c r="G13" i="24"/>
  <c r="C13" i="24"/>
  <c r="AJ13" i="24" s="1"/>
  <c r="S12" i="24"/>
  <c r="J12" i="24"/>
  <c r="H12" i="24"/>
  <c r="AA12" i="24" s="1"/>
  <c r="G12" i="24"/>
  <c r="C12" i="24"/>
  <c r="AJ12" i="24" s="1"/>
  <c r="S11" i="24"/>
  <c r="J11" i="24"/>
  <c r="H11" i="24"/>
  <c r="AA11" i="24" s="1"/>
  <c r="G11" i="24"/>
  <c r="C11" i="24"/>
  <c r="AJ11" i="24" s="1"/>
  <c r="S10" i="24"/>
  <c r="J10" i="24"/>
  <c r="H10" i="24"/>
  <c r="AA10" i="24" s="1"/>
  <c r="G10" i="24"/>
  <c r="C10" i="24"/>
  <c r="AJ10" i="24" s="1"/>
  <c r="S9" i="24"/>
  <c r="J9" i="24"/>
  <c r="H9" i="24"/>
  <c r="AA9" i="24" s="1"/>
  <c r="G9" i="24"/>
  <c r="C9" i="24"/>
  <c r="AJ9" i="24" s="1"/>
  <c r="S8" i="24"/>
  <c r="J8" i="24"/>
  <c r="H8" i="24"/>
  <c r="AA8" i="24" s="1"/>
  <c r="G8" i="24"/>
  <c r="C8" i="24"/>
  <c r="AJ8" i="24" s="1"/>
  <c r="S7" i="24"/>
  <c r="J7" i="24"/>
  <c r="H7" i="24"/>
  <c r="AA7" i="24" s="1"/>
  <c r="G7" i="24"/>
  <c r="C7" i="24"/>
  <c r="AJ7" i="24" s="1"/>
  <c r="S6" i="24"/>
  <c r="J6" i="24"/>
  <c r="H6" i="24"/>
  <c r="AA6" i="24" s="1"/>
  <c r="G6" i="24"/>
  <c r="C6" i="24"/>
  <c r="AJ6" i="24" s="1"/>
  <c r="X5" i="24"/>
  <c r="W5" i="24"/>
  <c r="S5" i="24"/>
  <c r="J5" i="24"/>
  <c r="H5" i="24"/>
  <c r="G5" i="24"/>
  <c r="C5" i="24"/>
  <c r="AJ5" i="24" s="1"/>
  <c r="V10" i="15" l="1"/>
  <c r="F11" i="15"/>
  <c r="R12" i="15"/>
  <c r="Q12" i="15"/>
  <c r="P12" i="15"/>
  <c r="AC7" i="24"/>
  <c r="AB7" i="24"/>
  <c r="Y19" i="24"/>
  <c r="Y15" i="24"/>
  <c r="Y11" i="24"/>
  <c r="Y7" i="24"/>
  <c r="Y9" i="24"/>
  <c r="Y5" i="24"/>
  <c r="Y16" i="24"/>
  <c r="Y18" i="24"/>
  <c r="Y14" i="24"/>
  <c r="Y10" i="24"/>
  <c r="Y6" i="24"/>
  <c r="Y17" i="24"/>
  <c r="Y13" i="24"/>
  <c r="Y12" i="24"/>
  <c r="Y8" i="24"/>
  <c r="AB9" i="24"/>
  <c r="AC9" i="24"/>
  <c r="AC13" i="24"/>
  <c r="AB13" i="24"/>
  <c r="AC17" i="24"/>
  <c r="AB17" i="24"/>
  <c r="AC10" i="24"/>
  <c r="AB10" i="24"/>
  <c r="AB14" i="24"/>
  <c r="AC14" i="24"/>
  <c r="AC18" i="24"/>
  <c r="AB18" i="24"/>
  <c r="G2" i="24"/>
  <c r="AC11" i="24"/>
  <c r="AB11" i="24"/>
  <c r="AC15" i="24"/>
  <c r="AB15" i="24"/>
  <c r="AC19" i="24"/>
  <c r="AB19" i="24"/>
  <c r="C2" i="24"/>
  <c r="L2" i="24"/>
  <c r="AA5" i="24"/>
  <c r="AC6" i="24"/>
  <c r="AB6" i="24"/>
  <c r="X7" i="24"/>
  <c r="AC5" i="24"/>
  <c r="AB5" i="24"/>
  <c r="M5" i="24"/>
  <c r="M6" i="24" s="1"/>
  <c r="M7" i="24" s="1"/>
  <c r="M8" i="24" s="1"/>
  <c r="M9" i="24" s="1"/>
  <c r="M10" i="24" s="1"/>
  <c r="M11" i="24" s="1"/>
  <c r="M12" i="24" s="1"/>
  <c r="M13" i="24" s="1"/>
  <c r="M14" i="24" s="1"/>
  <c r="M15" i="24" s="1"/>
  <c r="M16" i="24" s="1"/>
  <c r="M17" i="24" s="1"/>
  <c r="M18" i="24" s="1"/>
  <c r="M19" i="24" s="1"/>
  <c r="M20" i="24" s="1"/>
  <c r="M21" i="24" s="1"/>
  <c r="M22" i="24" s="1"/>
  <c r="M23" i="24" s="1"/>
  <c r="M24" i="24" s="1"/>
  <c r="M25" i="24" s="1"/>
  <c r="M26" i="24" s="1"/>
  <c r="M27" i="24" s="1"/>
  <c r="M28" i="24" s="1"/>
  <c r="M29" i="24" s="1"/>
  <c r="M30" i="24" s="1"/>
  <c r="M31" i="24" s="1"/>
  <c r="M32" i="24" s="1"/>
  <c r="M33" i="24" s="1"/>
  <c r="M34" i="24" s="1"/>
  <c r="M35" i="24" s="1"/>
  <c r="M36" i="24" s="1"/>
  <c r="M37" i="24" s="1"/>
  <c r="M38" i="24" s="1"/>
  <c r="M39" i="24" s="1"/>
  <c r="M40" i="24" s="1"/>
  <c r="M41" i="24" s="1"/>
  <c r="M42" i="24" s="1"/>
  <c r="M43" i="24" s="1"/>
  <c r="M44" i="24" s="1"/>
  <c r="M45" i="24" s="1"/>
  <c r="M46" i="24" s="1"/>
  <c r="M47" i="24" s="1"/>
  <c r="M48" i="24" s="1"/>
  <c r="M49" i="24" s="1"/>
  <c r="M50" i="24" s="1"/>
  <c r="M51" i="24" s="1"/>
  <c r="M52" i="24" s="1"/>
  <c r="M53" i="24" s="1"/>
  <c r="M54" i="24" s="1"/>
  <c r="M55" i="24" s="1"/>
  <c r="M56" i="24" s="1"/>
  <c r="M57" i="24" s="1"/>
  <c r="M58" i="24" s="1"/>
  <c r="M59" i="24" s="1"/>
  <c r="M60" i="24" s="1"/>
  <c r="M61" i="24" s="1"/>
  <c r="M62" i="24" s="1"/>
  <c r="M63" i="24" s="1"/>
  <c r="M64" i="24" s="1"/>
  <c r="M65" i="24" s="1"/>
  <c r="M66" i="24" s="1"/>
  <c r="M67" i="24" s="1"/>
  <c r="M68" i="24" s="1"/>
  <c r="M69" i="24" s="1"/>
  <c r="M70" i="24" s="1"/>
  <c r="M71" i="24" s="1"/>
  <c r="M72" i="24" s="1"/>
  <c r="M73" i="24" s="1"/>
  <c r="M74" i="24" s="1"/>
  <c r="M75" i="24" s="1"/>
  <c r="M76" i="24" s="1"/>
  <c r="M77" i="24" s="1"/>
  <c r="M78" i="24" s="1"/>
  <c r="M79" i="24" s="1"/>
  <c r="M80" i="24" s="1"/>
  <c r="M81" i="24" s="1"/>
  <c r="M82" i="24" s="1"/>
  <c r="M83" i="24" s="1"/>
  <c r="M84" i="24" s="1"/>
  <c r="M85" i="24" s="1"/>
  <c r="M86" i="24" s="1"/>
  <c r="M87" i="24" s="1"/>
  <c r="M88" i="24" s="1"/>
  <c r="M89" i="24" s="1"/>
  <c r="M90" i="24" s="1"/>
  <c r="M91" i="24" s="1"/>
  <c r="M92" i="24" s="1"/>
  <c r="M93" i="24" s="1"/>
  <c r="M94" i="24" s="1"/>
  <c r="M95" i="24" s="1"/>
  <c r="M96" i="24" s="1"/>
  <c r="M97" i="24" s="1"/>
  <c r="M98" i="24" s="1"/>
  <c r="M99" i="24" s="1"/>
  <c r="M100" i="24" s="1"/>
  <c r="M101" i="24" s="1"/>
  <c r="M102" i="24" s="1"/>
  <c r="M103" i="24" s="1"/>
  <c r="M104" i="24" s="1"/>
  <c r="M105" i="24" s="1"/>
  <c r="M106" i="24" s="1"/>
  <c r="M107" i="24" s="1"/>
  <c r="M108" i="24" s="1"/>
  <c r="M109" i="24" s="1"/>
  <c r="M110" i="24" s="1"/>
  <c r="M111" i="24" s="1"/>
  <c r="M112" i="24" s="1"/>
  <c r="M113" i="24" s="1"/>
  <c r="M114" i="24" s="1"/>
  <c r="M115" i="24" s="1"/>
  <c r="AB8" i="24"/>
  <c r="AC8" i="24"/>
  <c r="AB12" i="24"/>
  <c r="AC12" i="24"/>
  <c r="AB16" i="24"/>
  <c r="AC16" i="24"/>
  <c r="AC13" i="15"/>
  <c r="AB14" i="15"/>
  <c r="T10" i="15" l="1"/>
  <c r="U10" i="15"/>
  <c r="V11" i="15"/>
  <c r="Q13" i="15"/>
  <c r="K14" i="15"/>
  <c r="R13" i="15"/>
  <c r="M14" i="15"/>
  <c r="F12" i="15"/>
  <c r="P13" i="15"/>
  <c r="L14" i="15"/>
  <c r="Z18" i="24"/>
  <c r="Z14" i="24"/>
  <c r="Z10" i="24"/>
  <c r="Z6" i="24"/>
  <c r="Z16" i="24"/>
  <c r="Z12" i="24"/>
  <c r="Z8" i="24"/>
  <c r="Z19" i="24"/>
  <c r="Z17" i="24"/>
  <c r="Z13" i="24"/>
  <c r="Z9" i="24"/>
  <c r="Z5" i="24"/>
  <c r="Z15" i="24"/>
  <c r="Z11" i="24"/>
  <c r="Z7" i="24"/>
  <c r="L5" i="24"/>
  <c r="K5" i="24"/>
  <c r="AH16" i="24"/>
  <c r="AH12" i="24"/>
  <c r="AH8" i="24"/>
  <c r="AH10" i="24"/>
  <c r="AH6" i="24"/>
  <c r="AH17" i="24"/>
  <c r="AH5" i="24"/>
  <c r="AH19" i="24"/>
  <c r="AH15" i="24"/>
  <c r="AH11" i="24"/>
  <c r="AH7" i="24"/>
  <c r="AH18" i="24"/>
  <c r="AH14" i="24"/>
  <c r="AH13" i="24"/>
  <c r="AH9" i="24"/>
  <c r="E114" i="24"/>
  <c r="E115" i="24" s="1"/>
  <c r="E5" i="24"/>
  <c r="AC14" i="15"/>
  <c r="U11" i="15" l="1"/>
  <c r="T11" i="15"/>
  <c r="R14" i="15"/>
  <c r="M15" i="15"/>
  <c r="L15" i="15"/>
  <c r="P14" i="15"/>
  <c r="F13" i="15"/>
  <c r="K15" i="15"/>
  <c r="Q14" i="15"/>
  <c r="V12" i="15"/>
  <c r="T12" i="15"/>
  <c r="U12" i="15"/>
  <c r="L6" i="24"/>
  <c r="P5" i="24"/>
  <c r="E6" i="24"/>
  <c r="R5" i="24"/>
  <c r="K6" i="24"/>
  <c r="Q5" i="24"/>
  <c r="F14" i="15" l="1"/>
  <c r="O14" i="15" s="1"/>
  <c r="P15" i="15"/>
  <c r="L16" i="15"/>
  <c r="Q15" i="15"/>
  <c r="K16" i="15"/>
  <c r="R15" i="15"/>
  <c r="M16" i="15"/>
  <c r="U13" i="15"/>
  <c r="T13" i="15"/>
  <c r="V13" i="15"/>
  <c r="E7" i="24"/>
  <c r="R6" i="24"/>
  <c r="F5" i="24"/>
  <c r="O5" i="24" s="1"/>
  <c r="K7" i="24"/>
  <c r="Q6" i="24"/>
  <c r="L7" i="24"/>
  <c r="P6" i="24"/>
  <c r="F6" i="24" s="1"/>
  <c r="O6" i="24" s="1"/>
  <c r="T6" i="24" s="1"/>
  <c r="U6" i="24"/>
  <c r="D34" i="16"/>
  <c r="D35" i="16"/>
  <c r="D36" i="16"/>
  <c r="D37" i="16"/>
  <c r="D38" i="16"/>
  <c r="D39" i="16"/>
  <c r="D40" i="16"/>
  <c r="D41" i="16"/>
  <c r="K41" i="16"/>
  <c r="D33" i="16"/>
  <c r="K40" i="16" s="1"/>
  <c r="D32" i="16"/>
  <c r="K39" i="16"/>
  <c r="D31" i="16"/>
  <c r="K38" i="16" s="1"/>
  <c r="D30" i="16"/>
  <c r="K37" i="16"/>
  <c r="D29" i="16"/>
  <c r="K36" i="16" s="1"/>
  <c r="D28" i="16"/>
  <c r="K35" i="16"/>
  <c r="D27" i="16"/>
  <c r="K34" i="16" s="1"/>
  <c r="D26" i="16"/>
  <c r="K33" i="16" s="1"/>
  <c r="D25" i="16"/>
  <c r="K32" i="16" s="1"/>
  <c r="D24" i="16"/>
  <c r="K31" i="16" s="1"/>
  <c r="D23" i="16"/>
  <c r="K30" i="16" s="1"/>
  <c r="D22" i="16"/>
  <c r="K29" i="16" s="1"/>
  <c r="D21" i="16"/>
  <c r="K28" i="16" s="1"/>
  <c r="D20" i="16"/>
  <c r="K27" i="16" s="1"/>
  <c r="D19" i="16"/>
  <c r="K26" i="16" s="1"/>
  <c r="D18" i="16"/>
  <c r="K25" i="16" s="1"/>
  <c r="D17" i="16"/>
  <c r="K24" i="16" s="1"/>
  <c r="D16" i="16"/>
  <c r="K23" i="16" s="1"/>
  <c r="D15" i="16"/>
  <c r="K22" i="16" s="1"/>
  <c r="D14" i="16"/>
  <c r="K21" i="16" s="1"/>
  <c r="D13" i="16"/>
  <c r="K20" i="16" s="1"/>
  <c r="D12" i="16"/>
  <c r="K19" i="16" s="1"/>
  <c r="D11" i="16"/>
  <c r="K18" i="16" s="1"/>
  <c r="D10" i="16"/>
  <c r="K17" i="16" s="1"/>
  <c r="D9" i="16"/>
  <c r="K16" i="16" s="1"/>
  <c r="D8" i="16"/>
  <c r="K15" i="16" s="1"/>
  <c r="D7" i="16"/>
  <c r="K14" i="16" s="1"/>
  <c r="D6" i="16"/>
  <c r="K13" i="16" s="1"/>
  <c r="D5" i="16"/>
  <c r="K12" i="16" s="1"/>
  <c r="D4" i="16"/>
  <c r="K11" i="16" s="1"/>
  <c r="D3" i="16"/>
  <c r="K10" i="16" s="1"/>
  <c r="D2" i="16"/>
  <c r="K9" i="16" s="1"/>
  <c r="V14" i="15" l="1"/>
  <c r="F15" i="15"/>
  <c r="K17" i="15"/>
  <c r="Q16" i="15"/>
  <c r="R16" i="15"/>
  <c r="M17" i="15"/>
  <c r="L17" i="15"/>
  <c r="P16" i="15"/>
  <c r="K8" i="16"/>
  <c r="K5" i="16"/>
  <c r="K4" i="16"/>
  <c r="K7" i="16"/>
  <c r="V6" i="24"/>
  <c r="K8" i="24"/>
  <c r="Q7" i="24"/>
  <c r="K3" i="16"/>
  <c r="T5" i="24"/>
  <c r="U5" i="24"/>
  <c r="V5" i="24"/>
  <c r="K2" i="16"/>
  <c r="K6" i="16"/>
  <c r="L8" i="24"/>
  <c r="P7" i="24"/>
  <c r="F7" i="24" s="1"/>
  <c r="O7" i="24" s="1"/>
  <c r="E8" i="24"/>
  <c r="R7" i="24"/>
  <c r="U7" i="24"/>
  <c r="T7" i="24"/>
  <c r="V7" i="24"/>
  <c r="U14" i="15" l="1"/>
  <c r="T14" i="15"/>
  <c r="R17" i="15"/>
  <c r="M18" i="15"/>
  <c r="F16" i="15"/>
  <c r="P17" i="15"/>
  <c r="L18" i="15"/>
  <c r="Q17" i="15"/>
  <c r="K18" i="15"/>
  <c r="U15" i="15"/>
  <c r="T15" i="15"/>
  <c r="V15" i="15"/>
  <c r="E9" i="24"/>
  <c r="R8" i="24"/>
  <c r="L9" i="24"/>
  <c r="P8" i="24"/>
  <c r="K9" i="24"/>
  <c r="Q8" i="24"/>
  <c r="F17" i="15" l="1"/>
  <c r="K19" i="15"/>
  <c r="Q18" i="15"/>
  <c r="R18" i="15"/>
  <c r="M19" i="15"/>
  <c r="V16" i="15"/>
  <c r="T16" i="15"/>
  <c r="U16" i="15"/>
  <c r="L19" i="15"/>
  <c r="P18" i="15"/>
  <c r="F8" i="24"/>
  <c r="O8" i="24" s="1"/>
  <c r="L10" i="24"/>
  <c r="P9" i="24"/>
  <c r="K10" i="24"/>
  <c r="Q9" i="24"/>
  <c r="E10" i="24"/>
  <c r="R9" i="24"/>
  <c r="U17" i="15" l="1"/>
  <c r="F18" i="15"/>
  <c r="Q19" i="15"/>
  <c r="K20" i="15"/>
  <c r="P19" i="15"/>
  <c r="L20" i="15"/>
  <c r="R19" i="15"/>
  <c r="M20" i="15"/>
  <c r="E11" i="24"/>
  <c r="R10" i="24"/>
  <c r="F9" i="24"/>
  <c r="O9" i="24" s="1"/>
  <c r="L11" i="24"/>
  <c r="P10" i="24"/>
  <c r="F10" i="24" s="1"/>
  <c r="O10" i="24" s="1"/>
  <c r="U10" i="24" s="1"/>
  <c r="K11" i="24"/>
  <c r="Q10" i="24"/>
  <c r="V8" i="24"/>
  <c r="U8" i="24"/>
  <c r="T8" i="24"/>
  <c r="V17" i="15" l="1"/>
  <c r="T17" i="15"/>
  <c r="V18" i="15"/>
  <c r="L21" i="15"/>
  <c r="P20" i="15"/>
  <c r="K21" i="15"/>
  <c r="Q20" i="15"/>
  <c r="F19" i="15"/>
  <c r="R20" i="15"/>
  <c r="M21" i="15"/>
  <c r="T10" i="24"/>
  <c r="V10" i="24"/>
  <c r="K12" i="24"/>
  <c r="Q11" i="24"/>
  <c r="V9" i="24"/>
  <c r="T9" i="24"/>
  <c r="U9" i="24"/>
  <c r="L12" i="24"/>
  <c r="P11" i="24"/>
  <c r="E12" i="24"/>
  <c r="R11" i="24"/>
  <c r="T18" i="15" l="1"/>
  <c r="U18" i="15"/>
  <c r="R21" i="15"/>
  <c r="M22" i="15"/>
  <c r="Q21" i="15"/>
  <c r="K22" i="15"/>
  <c r="F20" i="15"/>
  <c r="U19" i="15"/>
  <c r="T19" i="15"/>
  <c r="V19" i="15"/>
  <c r="P21" i="15"/>
  <c r="F21" i="15" s="1"/>
  <c r="L22" i="15"/>
  <c r="E13" i="24"/>
  <c r="R12" i="24"/>
  <c r="K13" i="24"/>
  <c r="Q12" i="24"/>
  <c r="F11" i="24"/>
  <c r="O11" i="24" s="1"/>
  <c r="L13" i="24"/>
  <c r="P12" i="24"/>
  <c r="F12" i="24" s="1"/>
  <c r="O12" i="24" s="1"/>
  <c r="T12" i="24" s="1"/>
  <c r="U21" i="15" l="1"/>
  <c r="T21" i="15"/>
  <c r="V21" i="15"/>
  <c r="K23" i="15"/>
  <c r="Q22" i="15"/>
  <c r="L23" i="15"/>
  <c r="P22" i="15"/>
  <c r="R22" i="15"/>
  <c r="M23" i="15"/>
  <c r="V20" i="15"/>
  <c r="U20" i="15"/>
  <c r="T20" i="15"/>
  <c r="T11" i="24"/>
  <c r="U11" i="24"/>
  <c r="V11" i="24"/>
  <c r="L14" i="24"/>
  <c r="P13" i="24"/>
  <c r="K14" i="24"/>
  <c r="Q13" i="24"/>
  <c r="V12" i="24"/>
  <c r="U12" i="24"/>
  <c r="E14" i="24"/>
  <c r="R13" i="24"/>
  <c r="F22" i="15" l="1"/>
  <c r="Q23" i="15"/>
  <c r="K24" i="15"/>
  <c r="L24" i="15"/>
  <c r="P23" i="15"/>
  <c r="R23" i="15"/>
  <c r="M24" i="15"/>
  <c r="E15" i="24"/>
  <c r="R14" i="24"/>
  <c r="K15" i="24"/>
  <c r="Q14" i="24"/>
  <c r="F13" i="24"/>
  <c r="O13" i="24" s="1"/>
  <c r="L15" i="24"/>
  <c r="P14" i="24"/>
  <c r="F14" i="24" s="1"/>
  <c r="O14" i="24" s="1"/>
  <c r="U14" i="24" s="1"/>
  <c r="V14" i="24"/>
  <c r="F23" i="15" l="1"/>
  <c r="L25" i="15"/>
  <c r="P24" i="15"/>
  <c r="R24" i="15"/>
  <c r="M25" i="15"/>
  <c r="K25" i="15"/>
  <c r="Q24" i="15"/>
  <c r="V22" i="15"/>
  <c r="U22" i="15"/>
  <c r="T22" i="15"/>
  <c r="T14" i="24"/>
  <c r="L16" i="24"/>
  <c r="P15" i="24"/>
  <c r="K16" i="24"/>
  <c r="Q15" i="24"/>
  <c r="V13" i="24"/>
  <c r="T13" i="24"/>
  <c r="U13" i="24"/>
  <c r="E16" i="24"/>
  <c r="R15" i="24"/>
  <c r="T23" i="15" l="1"/>
  <c r="U23" i="15"/>
  <c r="F24" i="15"/>
  <c r="Q25" i="15"/>
  <c r="K26" i="15"/>
  <c r="R25" i="15"/>
  <c r="M26" i="15"/>
  <c r="P25" i="15"/>
  <c r="L26" i="15"/>
  <c r="K17" i="24"/>
  <c r="Q16" i="24"/>
  <c r="F15" i="24"/>
  <c r="O15" i="24" s="1"/>
  <c r="L17" i="24"/>
  <c r="P16" i="24"/>
  <c r="E17" i="24"/>
  <c r="R16" i="24"/>
  <c r="V23" i="15" l="1"/>
  <c r="F25" i="15"/>
  <c r="U24" i="15"/>
  <c r="T24" i="15"/>
  <c r="K27" i="15"/>
  <c r="Q26" i="15"/>
  <c r="R26" i="15"/>
  <c r="M27" i="15"/>
  <c r="L27" i="15"/>
  <c r="P26" i="15"/>
  <c r="L18" i="24"/>
  <c r="P17" i="24"/>
  <c r="U15" i="24"/>
  <c r="T15" i="24"/>
  <c r="V15" i="24"/>
  <c r="E18" i="24"/>
  <c r="R17" i="24"/>
  <c r="F16" i="24"/>
  <c r="O16" i="24" s="1"/>
  <c r="K18" i="24"/>
  <c r="Q17" i="24"/>
  <c r="T25" i="15" l="1"/>
  <c r="V24" i="15"/>
  <c r="F26" i="15"/>
  <c r="P27" i="15"/>
  <c r="L28" i="15"/>
  <c r="Q27" i="15"/>
  <c r="K28" i="15"/>
  <c r="R27" i="15"/>
  <c r="M28" i="15"/>
  <c r="V16" i="24"/>
  <c r="T16" i="24"/>
  <c r="U16" i="24"/>
  <c r="E19" i="24"/>
  <c r="R18" i="24"/>
  <c r="F17" i="24"/>
  <c r="O17" i="24" s="1"/>
  <c r="K19" i="24"/>
  <c r="Q18" i="24"/>
  <c r="L19" i="24"/>
  <c r="P18" i="24"/>
  <c r="F18" i="24" s="1"/>
  <c r="O18" i="24" s="1"/>
  <c r="T18" i="24" s="1"/>
  <c r="U25" i="15" l="1"/>
  <c r="V25" i="15"/>
  <c r="T26" i="15"/>
  <c r="K29" i="15"/>
  <c r="Q28" i="15"/>
  <c r="R28" i="15"/>
  <c r="M29" i="15"/>
  <c r="L29" i="15"/>
  <c r="P28" i="15"/>
  <c r="F27" i="15"/>
  <c r="E20" i="24"/>
  <c r="R19" i="24"/>
  <c r="V18" i="24"/>
  <c r="U18" i="24"/>
  <c r="K20" i="24"/>
  <c r="Q19" i="24"/>
  <c r="U17" i="24"/>
  <c r="T17" i="24"/>
  <c r="V17" i="24"/>
  <c r="L20" i="24"/>
  <c r="P19" i="24"/>
  <c r="F19" i="24" s="1"/>
  <c r="O19" i="24" s="1"/>
  <c r="T19" i="24" s="1"/>
  <c r="U26" i="15" l="1"/>
  <c r="V26" i="15"/>
  <c r="R29" i="15"/>
  <c r="M30" i="15"/>
  <c r="U27" i="15"/>
  <c r="T27" i="15"/>
  <c r="V27" i="15"/>
  <c r="F28" i="15"/>
  <c r="P29" i="15"/>
  <c r="L30" i="15"/>
  <c r="K30" i="15"/>
  <c r="Q29" i="15"/>
  <c r="U19" i="24"/>
  <c r="V19" i="24"/>
  <c r="L21" i="24"/>
  <c r="P20" i="24"/>
  <c r="K21" i="24"/>
  <c r="Q20" i="24"/>
  <c r="E21" i="24"/>
  <c r="R20" i="24"/>
  <c r="F29" i="15" l="1"/>
  <c r="P30" i="15"/>
  <c r="L31" i="15"/>
  <c r="R30" i="15"/>
  <c r="M31" i="15"/>
  <c r="V28" i="15"/>
  <c r="U28" i="15"/>
  <c r="T28" i="15"/>
  <c r="K31" i="15"/>
  <c r="Q30" i="15"/>
  <c r="F20" i="24"/>
  <c r="O20" i="24" s="1"/>
  <c r="E22" i="24"/>
  <c r="R21" i="24"/>
  <c r="L22" i="24"/>
  <c r="P21" i="24"/>
  <c r="F21" i="24" s="1"/>
  <c r="O21" i="24" s="1"/>
  <c r="U21" i="24" s="1"/>
  <c r="K22" i="24"/>
  <c r="Q21" i="24"/>
  <c r="V21" i="24"/>
  <c r="V29" i="15" l="1"/>
  <c r="R31" i="15"/>
  <c r="M32" i="15"/>
  <c r="L32" i="15"/>
  <c r="P31" i="15"/>
  <c r="K32" i="15"/>
  <c r="Q31" i="15"/>
  <c r="F30" i="15"/>
  <c r="L23" i="24"/>
  <c r="P22" i="24"/>
  <c r="T21" i="24"/>
  <c r="K23" i="24"/>
  <c r="Q22" i="24"/>
  <c r="E23" i="24"/>
  <c r="R22" i="24"/>
  <c r="T20" i="24"/>
  <c r="V20" i="24"/>
  <c r="U20" i="24"/>
  <c r="U29" i="15" l="1"/>
  <c r="T29" i="15"/>
  <c r="F31" i="15"/>
  <c r="T30" i="15"/>
  <c r="V30" i="15"/>
  <c r="U30" i="15"/>
  <c r="R32" i="15"/>
  <c r="M33" i="15"/>
  <c r="P32" i="15"/>
  <c r="L33" i="15"/>
  <c r="K33" i="15"/>
  <c r="Q32" i="15"/>
  <c r="K24" i="24"/>
  <c r="Q23" i="24"/>
  <c r="E24" i="24"/>
  <c r="R23" i="24"/>
  <c r="F22" i="24"/>
  <c r="O22" i="24" s="1"/>
  <c r="L24" i="24"/>
  <c r="P23" i="24"/>
  <c r="F23" i="24" s="1"/>
  <c r="O23" i="24" s="1"/>
  <c r="V23" i="24" s="1"/>
  <c r="T31" i="15" l="1"/>
  <c r="K34" i="15"/>
  <c r="Q33" i="15"/>
  <c r="P33" i="15"/>
  <c r="L34" i="15"/>
  <c r="F32" i="15"/>
  <c r="R33" i="15"/>
  <c r="M34" i="15"/>
  <c r="U23" i="24"/>
  <c r="E25" i="24"/>
  <c r="R24" i="24"/>
  <c r="T23" i="24"/>
  <c r="L25" i="24"/>
  <c r="P24" i="24"/>
  <c r="F24" i="24" s="1"/>
  <c r="O24" i="24" s="1"/>
  <c r="T24" i="24" s="1"/>
  <c r="V22" i="24"/>
  <c r="T22" i="24"/>
  <c r="U22" i="24"/>
  <c r="K25" i="24"/>
  <c r="Q24" i="24"/>
  <c r="V31" i="15" l="1"/>
  <c r="U31" i="15"/>
  <c r="F33" i="15"/>
  <c r="P34" i="15"/>
  <c r="L35" i="15"/>
  <c r="R34" i="15"/>
  <c r="M35" i="15"/>
  <c r="T32" i="15"/>
  <c r="U32" i="15"/>
  <c r="V32" i="15"/>
  <c r="Q34" i="15"/>
  <c r="K35" i="15"/>
  <c r="V24" i="24"/>
  <c r="U24" i="24"/>
  <c r="E26" i="24"/>
  <c r="R25" i="24"/>
  <c r="K26" i="24"/>
  <c r="Q25" i="24"/>
  <c r="L26" i="24"/>
  <c r="P25" i="24"/>
  <c r="V33" i="15" l="1"/>
  <c r="T33" i="15"/>
  <c r="R35" i="15"/>
  <c r="M36" i="15"/>
  <c r="L36" i="15"/>
  <c r="P35" i="15"/>
  <c r="K36" i="15"/>
  <c r="Q35" i="15"/>
  <c r="F34" i="15"/>
  <c r="F25" i="24"/>
  <c r="O25" i="24" s="1"/>
  <c r="L27" i="24"/>
  <c r="P26" i="24"/>
  <c r="E27" i="24"/>
  <c r="R26" i="24"/>
  <c r="K27" i="24"/>
  <c r="Q26" i="24"/>
  <c r="U33" i="15" l="1"/>
  <c r="F35" i="15"/>
  <c r="P36" i="15"/>
  <c r="L37" i="15"/>
  <c r="T34" i="15"/>
  <c r="V34" i="15"/>
  <c r="U34" i="15"/>
  <c r="R36" i="15"/>
  <c r="M37" i="15"/>
  <c r="K37" i="15"/>
  <c r="Q36" i="15"/>
  <c r="E28" i="24"/>
  <c r="R27" i="24"/>
  <c r="F26" i="24"/>
  <c r="O26" i="24" s="1"/>
  <c r="K28" i="24"/>
  <c r="Q27" i="24"/>
  <c r="L28" i="24"/>
  <c r="P27" i="24"/>
  <c r="F27" i="24" s="1"/>
  <c r="O27" i="24" s="1"/>
  <c r="V27" i="24" s="1"/>
  <c r="U25" i="24"/>
  <c r="T25" i="24"/>
  <c r="V25" i="24"/>
  <c r="V35" i="15" l="1"/>
  <c r="K38" i="15"/>
  <c r="Q37" i="15"/>
  <c r="R37" i="15"/>
  <c r="M38" i="15"/>
  <c r="F36" i="15"/>
  <c r="P37" i="15"/>
  <c r="L38" i="15"/>
  <c r="U27" i="24"/>
  <c r="K29" i="24"/>
  <c r="Q28" i="24"/>
  <c r="V26" i="24"/>
  <c r="U26" i="24"/>
  <c r="T26" i="24"/>
  <c r="L29" i="24"/>
  <c r="P28" i="24"/>
  <c r="T27" i="24"/>
  <c r="E29" i="24"/>
  <c r="R28" i="24"/>
  <c r="U35" i="15" l="1"/>
  <c r="T35" i="15"/>
  <c r="F37" i="15"/>
  <c r="R38" i="15"/>
  <c r="M39" i="15"/>
  <c r="P38" i="15"/>
  <c r="L39" i="15"/>
  <c r="T36" i="15"/>
  <c r="V36" i="15"/>
  <c r="U36" i="15"/>
  <c r="K39" i="15"/>
  <c r="Q38" i="15"/>
  <c r="L30" i="24"/>
  <c r="P29" i="24"/>
  <c r="E30" i="24"/>
  <c r="R29" i="24"/>
  <c r="K30" i="24"/>
  <c r="Q29" i="24"/>
  <c r="F28" i="24"/>
  <c r="O28" i="24" s="1"/>
  <c r="U37" i="15" l="1"/>
  <c r="T37" i="15"/>
  <c r="K40" i="15"/>
  <c r="Q39" i="15"/>
  <c r="L40" i="15"/>
  <c r="P39" i="15"/>
  <c r="F38" i="15"/>
  <c r="R39" i="15"/>
  <c r="M40" i="15"/>
  <c r="K31" i="24"/>
  <c r="Q30" i="24"/>
  <c r="F29" i="24"/>
  <c r="O29" i="24" s="1"/>
  <c r="L31" i="24"/>
  <c r="P30" i="24"/>
  <c r="F30" i="24" s="1"/>
  <c r="O30" i="24" s="1"/>
  <c r="U30" i="24" s="1"/>
  <c r="T28" i="24"/>
  <c r="V28" i="24"/>
  <c r="U28" i="24"/>
  <c r="E31" i="24"/>
  <c r="R30" i="24"/>
  <c r="V30" i="24"/>
  <c r="T30" i="24"/>
  <c r="V37" i="15" l="1"/>
  <c r="F39" i="15"/>
  <c r="O39" i="15" s="1"/>
  <c r="P40" i="15"/>
  <c r="L41" i="15"/>
  <c r="R40" i="15"/>
  <c r="M41" i="15"/>
  <c r="T38" i="15"/>
  <c r="V38" i="15"/>
  <c r="U38" i="15"/>
  <c r="Q40" i="15"/>
  <c r="K41" i="15"/>
  <c r="L32" i="24"/>
  <c r="P31" i="24"/>
  <c r="V29" i="24"/>
  <c r="U29" i="24"/>
  <c r="T29" i="24"/>
  <c r="E32" i="24"/>
  <c r="R31" i="24"/>
  <c r="K32" i="24"/>
  <c r="Q31" i="24"/>
  <c r="V39" i="15" l="1"/>
  <c r="F40" i="15"/>
  <c r="K42" i="15"/>
  <c r="Q41" i="15"/>
  <c r="R41" i="15"/>
  <c r="M42" i="15"/>
  <c r="P41" i="15"/>
  <c r="L42" i="15"/>
  <c r="E33" i="24"/>
  <c r="R32" i="24"/>
  <c r="F31" i="24"/>
  <c r="O31" i="24" s="1"/>
  <c r="K33" i="24"/>
  <c r="Q32" i="24"/>
  <c r="L33" i="24"/>
  <c r="P32" i="24"/>
  <c r="F32" i="24" s="1"/>
  <c r="O32" i="24" s="1"/>
  <c r="T32" i="24" s="1"/>
  <c r="U39" i="15" l="1"/>
  <c r="T39" i="15"/>
  <c r="U40" i="15"/>
  <c r="F41" i="15"/>
  <c r="R42" i="15"/>
  <c r="M43" i="15"/>
  <c r="P42" i="15"/>
  <c r="L43" i="15"/>
  <c r="K43" i="15"/>
  <c r="Q42" i="15"/>
  <c r="V32" i="24"/>
  <c r="L34" i="24"/>
  <c r="P33" i="24"/>
  <c r="U32" i="24"/>
  <c r="E34" i="24"/>
  <c r="R33" i="24"/>
  <c r="K34" i="24"/>
  <c r="Q33" i="24"/>
  <c r="T31" i="24"/>
  <c r="V31" i="24"/>
  <c r="U31" i="24"/>
  <c r="V40" i="15" l="1"/>
  <c r="T41" i="15"/>
  <c r="T40" i="15"/>
  <c r="F42" i="15"/>
  <c r="K44" i="15"/>
  <c r="Q43" i="15"/>
  <c r="L44" i="15"/>
  <c r="P43" i="15"/>
  <c r="R43" i="15"/>
  <c r="M44" i="15"/>
  <c r="K35" i="24"/>
  <c r="Q34" i="24"/>
  <c r="F33" i="24"/>
  <c r="O33" i="24" s="1"/>
  <c r="L35" i="24"/>
  <c r="P34" i="24"/>
  <c r="E35" i="24"/>
  <c r="R34" i="24"/>
  <c r="V41" i="15" l="1"/>
  <c r="U41" i="15"/>
  <c r="V42" i="15"/>
  <c r="K45" i="15"/>
  <c r="Q44" i="15"/>
  <c r="P44" i="15"/>
  <c r="L45" i="15"/>
  <c r="F43" i="15"/>
  <c r="R44" i="15"/>
  <c r="M45" i="15"/>
  <c r="L36" i="24"/>
  <c r="P35" i="24"/>
  <c r="V33" i="24"/>
  <c r="U33" i="24"/>
  <c r="T33" i="24"/>
  <c r="E36" i="24"/>
  <c r="R35" i="24"/>
  <c r="F34" i="24"/>
  <c r="O34" i="24" s="1"/>
  <c r="K36" i="24"/>
  <c r="Q35" i="24"/>
  <c r="U42" i="15" l="1"/>
  <c r="T42" i="15"/>
  <c r="F44" i="15"/>
  <c r="P45" i="15"/>
  <c r="L46" i="15"/>
  <c r="R45" i="15"/>
  <c r="M46" i="15"/>
  <c r="V43" i="15"/>
  <c r="T43" i="15"/>
  <c r="U43" i="15"/>
  <c r="K46" i="15"/>
  <c r="Q45" i="15"/>
  <c r="T34" i="24"/>
  <c r="V34" i="24"/>
  <c r="U34" i="24"/>
  <c r="E37" i="24"/>
  <c r="R36" i="24"/>
  <c r="F35" i="24"/>
  <c r="O35" i="24" s="1"/>
  <c r="K37" i="24"/>
  <c r="Q36" i="24"/>
  <c r="L37" i="24"/>
  <c r="P36" i="24"/>
  <c r="F36" i="24" s="1"/>
  <c r="O36" i="24" s="1"/>
  <c r="T36" i="24" s="1"/>
  <c r="T44" i="15" l="1"/>
  <c r="F45" i="15"/>
  <c r="K47" i="15"/>
  <c r="Q46" i="15"/>
  <c r="R46" i="15"/>
  <c r="M47" i="15"/>
  <c r="P46" i="15"/>
  <c r="L47" i="15"/>
  <c r="V36" i="24"/>
  <c r="K38" i="24"/>
  <c r="Q37" i="24"/>
  <c r="E38" i="24"/>
  <c r="R37" i="24"/>
  <c r="T35" i="24"/>
  <c r="U35" i="24"/>
  <c r="V35" i="24"/>
  <c r="L38" i="24"/>
  <c r="P37" i="24"/>
  <c r="F37" i="24" s="1"/>
  <c r="O37" i="24" s="1"/>
  <c r="V37" i="24" s="1"/>
  <c r="U36" i="24"/>
  <c r="U44" i="15" l="1"/>
  <c r="V44" i="15"/>
  <c r="F46" i="15"/>
  <c r="K48" i="15"/>
  <c r="Q47" i="15"/>
  <c r="P47" i="15"/>
  <c r="L48" i="15"/>
  <c r="R47" i="15"/>
  <c r="M48" i="15"/>
  <c r="V45" i="15"/>
  <c r="U45" i="15"/>
  <c r="T45" i="15"/>
  <c r="L39" i="24"/>
  <c r="P38" i="24"/>
  <c r="F38" i="24" s="1"/>
  <c r="O38" i="24" s="1"/>
  <c r="U38" i="24" s="1"/>
  <c r="K39" i="24"/>
  <c r="Q38" i="24"/>
  <c r="U37" i="24"/>
  <c r="T37" i="24"/>
  <c r="E39" i="24"/>
  <c r="R38" i="24"/>
  <c r="F47" i="15" l="1"/>
  <c r="R48" i="15"/>
  <c r="M49" i="15"/>
  <c r="Q48" i="15"/>
  <c r="K49" i="15"/>
  <c r="P48" i="15"/>
  <c r="L49" i="15"/>
  <c r="T46" i="15"/>
  <c r="V46" i="15"/>
  <c r="U46" i="15"/>
  <c r="E40" i="24"/>
  <c r="R39" i="24"/>
  <c r="K40" i="24"/>
  <c r="Q39" i="24"/>
  <c r="T38" i="24"/>
  <c r="V38" i="24"/>
  <c r="L40" i="24"/>
  <c r="P39" i="24"/>
  <c r="F39" i="24" s="1"/>
  <c r="O39" i="24" s="1"/>
  <c r="V39" i="24" s="1"/>
  <c r="T39" i="24"/>
  <c r="U47" i="15" l="1"/>
  <c r="F48" i="15"/>
  <c r="R49" i="15"/>
  <c r="M50" i="15"/>
  <c r="K50" i="15"/>
  <c r="Q49" i="15"/>
  <c r="P49" i="15"/>
  <c r="L50" i="15"/>
  <c r="L41" i="24"/>
  <c r="P40" i="24"/>
  <c r="F40" i="24" s="1"/>
  <c r="O40" i="24" s="1"/>
  <c r="V40" i="24" s="1"/>
  <c r="K41" i="24"/>
  <c r="Q40" i="24"/>
  <c r="U39" i="24"/>
  <c r="E41" i="24"/>
  <c r="R40" i="24"/>
  <c r="V47" i="15" l="1"/>
  <c r="T47" i="15"/>
  <c r="U48" i="15"/>
  <c r="F49" i="15"/>
  <c r="K51" i="15"/>
  <c r="Q50" i="15"/>
  <c r="P50" i="15"/>
  <c r="L51" i="15"/>
  <c r="R50" i="15"/>
  <c r="M51" i="15"/>
  <c r="T40" i="24"/>
  <c r="E42" i="24"/>
  <c r="R41" i="24"/>
  <c r="K42" i="24"/>
  <c r="Q41" i="24"/>
  <c r="U40" i="24"/>
  <c r="L42" i="24"/>
  <c r="P41" i="24"/>
  <c r="F41" i="24" s="1"/>
  <c r="O41" i="24" s="1"/>
  <c r="U41" i="24" s="1"/>
  <c r="V48" i="15" l="1"/>
  <c r="T48" i="15"/>
  <c r="T49" i="15"/>
  <c r="F50" i="15"/>
  <c r="O50" i="15" s="1"/>
  <c r="P51" i="15"/>
  <c r="L52" i="15"/>
  <c r="R51" i="15"/>
  <c r="M52" i="15"/>
  <c r="Q51" i="15"/>
  <c r="K52" i="15"/>
  <c r="K43" i="24"/>
  <c r="Q42" i="24"/>
  <c r="L43" i="24"/>
  <c r="P42" i="24"/>
  <c r="V41" i="24"/>
  <c r="E43" i="24"/>
  <c r="R42" i="24"/>
  <c r="T41" i="24"/>
  <c r="U49" i="15" l="1"/>
  <c r="V49" i="15"/>
  <c r="K53" i="15"/>
  <c r="Q52" i="15"/>
  <c r="P52" i="15"/>
  <c r="L53" i="15"/>
  <c r="F51" i="15"/>
  <c r="R52" i="15"/>
  <c r="M53" i="15"/>
  <c r="T50" i="15"/>
  <c r="V50" i="15"/>
  <c r="U50" i="15"/>
  <c r="F42" i="24"/>
  <c r="O42" i="24" s="1"/>
  <c r="L44" i="24"/>
  <c r="P43" i="24"/>
  <c r="E44" i="24"/>
  <c r="R43" i="24"/>
  <c r="K44" i="24"/>
  <c r="Q43" i="24"/>
  <c r="F52" i="15" l="1"/>
  <c r="P53" i="15"/>
  <c r="L54" i="15"/>
  <c r="R53" i="15"/>
  <c r="M54" i="15"/>
  <c r="T51" i="15"/>
  <c r="U51" i="15"/>
  <c r="V51" i="15"/>
  <c r="K54" i="15"/>
  <c r="Q53" i="15"/>
  <c r="F43" i="24"/>
  <c r="O43" i="24" s="1"/>
  <c r="K45" i="24"/>
  <c r="Q44" i="24"/>
  <c r="L45" i="24"/>
  <c r="P44" i="24"/>
  <c r="E45" i="24"/>
  <c r="R44" i="24"/>
  <c r="U42" i="24"/>
  <c r="T42" i="24"/>
  <c r="V42" i="24"/>
  <c r="V52" i="15" l="1"/>
  <c r="K55" i="15"/>
  <c r="Q54" i="15"/>
  <c r="F53" i="15"/>
  <c r="R54" i="15"/>
  <c r="M55" i="15"/>
  <c r="L55" i="15"/>
  <c r="P54" i="15"/>
  <c r="E46" i="24"/>
  <c r="R45" i="24"/>
  <c r="K46" i="24"/>
  <c r="Q45" i="24"/>
  <c r="F44" i="24"/>
  <c r="O44" i="24" s="1"/>
  <c r="L46" i="24"/>
  <c r="P45" i="24"/>
  <c r="F45" i="24" s="1"/>
  <c r="O45" i="24" s="1"/>
  <c r="U45" i="24" s="1"/>
  <c r="U43" i="24"/>
  <c r="T43" i="24"/>
  <c r="V43" i="24"/>
  <c r="T52" i="15" l="1"/>
  <c r="U52" i="15"/>
  <c r="T53" i="15"/>
  <c r="V53" i="15"/>
  <c r="U53" i="15"/>
  <c r="F54" i="15"/>
  <c r="P55" i="15"/>
  <c r="L56" i="15"/>
  <c r="R55" i="15"/>
  <c r="M56" i="15"/>
  <c r="K56" i="15"/>
  <c r="Q55" i="15"/>
  <c r="V45" i="24"/>
  <c r="K47" i="24"/>
  <c r="Q46" i="24"/>
  <c r="T45" i="24"/>
  <c r="L47" i="24"/>
  <c r="P46" i="24"/>
  <c r="U44" i="24"/>
  <c r="T44" i="24"/>
  <c r="V44" i="24"/>
  <c r="E47" i="24"/>
  <c r="R46" i="24"/>
  <c r="V54" i="15" l="1"/>
  <c r="T54" i="15"/>
  <c r="U54" i="15"/>
  <c r="P56" i="15"/>
  <c r="L57" i="15"/>
  <c r="R56" i="15"/>
  <c r="M57" i="15"/>
  <c r="K57" i="15"/>
  <c r="Q56" i="15"/>
  <c r="F55" i="15"/>
  <c r="E48" i="24"/>
  <c r="R47" i="24"/>
  <c r="F46" i="24"/>
  <c r="O46" i="24" s="1"/>
  <c r="L48" i="24"/>
  <c r="P47" i="24"/>
  <c r="K48" i="24"/>
  <c r="Q47" i="24"/>
  <c r="F56" i="15" l="1"/>
  <c r="K58" i="15"/>
  <c r="Q57" i="15"/>
  <c r="T55" i="15"/>
  <c r="V55" i="15"/>
  <c r="U55" i="15"/>
  <c r="R57" i="15"/>
  <c r="M58" i="15"/>
  <c r="P57" i="15"/>
  <c r="L58" i="15"/>
  <c r="U46" i="24"/>
  <c r="T46" i="24"/>
  <c r="V46" i="24"/>
  <c r="K49" i="24"/>
  <c r="Q48" i="24"/>
  <c r="F47" i="24"/>
  <c r="O47" i="24" s="1"/>
  <c r="E49" i="24"/>
  <c r="R48" i="24"/>
  <c r="L49" i="24"/>
  <c r="P48" i="24"/>
  <c r="F48" i="24" s="1"/>
  <c r="O48" i="24" s="1"/>
  <c r="V48" i="24" s="1"/>
  <c r="V56" i="15" l="1"/>
  <c r="F57" i="15"/>
  <c r="P58" i="15"/>
  <c r="L59" i="15"/>
  <c r="R58" i="15"/>
  <c r="M59" i="15"/>
  <c r="K59" i="15"/>
  <c r="Q58" i="15"/>
  <c r="U48" i="24"/>
  <c r="E50" i="24"/>
  <c r="R49" i="24"/>
  <c r="U47" i="24"/>
  <c r="T47" i="24"/>
  <c r="V47" i="24"/>
  <c r="L50" i="24"/>
  <c r="P49" i="24"/>
  <c r="T48" i="24"/>
  <c r="K50" i="24"/>
  <c r="Q49" i="24"/>
  <c r="T56" i="15" l="1"/>
  <c r="V57" i="15"/>
  <c r="U56" i="15"/>
  <c r="R59" i="15"/>
  <c r="M60" i="15"/>
  <c r="P59" i="15"/>
  <c r="L60" i="15"/>
  <c r="Q59" i="15"/>
  <c r="K60" i="15"/>
  <c r="F58" i="15"/>
  <c r="L51" i="24"/>
  <c r="P50" i="24"/>
  <c r="K51" i="24"/>
  <c r="Q50" i="24"/>
  <c r="E51" i="24"/>
  <c r="R50" i="24"/>
  <c r="F49" i="24"/>
  <c r="O49" i="24" s="1"/>
  <c r="U57" i="15" l="1"/>
  <c r="T57" i="15"/>
  <c r="F59" i="15"/>
  <c r="P60" i="15"/>
  <c r="L61" i="15"/>
  <c r="V58" i="15"/>
  <c r="U58" i="15"/>
  <c r="T58" i="15"/>
  <c r="R60" i="15"/>
  <c r="M61" i="15"/>
  <c r="K61" i="15"/>
  <c r="Q60" i="15"/>
  <c r="V49" i="24"/>
  <c r="U49" i="24"/>
  <c r="T49" i="24"/>
  <c r="K52" i="24"/>
  <c r="Q51" i="24"/>
  <c r="F50" i="24"/>
  <c r="O50" i="24" s="1"/>
  <c r="E52" i="24"/>
  <c r="R51" i="24"/>
  <c r="L52" i="24"/>
  <c r="P51" i="24"/>
  <c r="F51" i="24" s="1"/>
  <c r="O51" i="24" s="1"/>
  <c r="U51" i="24" s="1"/>
  <c r="V59" i="15" l="1"/>
  <c r="T59" i="15"/>
  <c r="R61" i="15"/>
  <c r="M62" i="15"/>
  <c r="P61" i="15"/>
  <c r="L62" i="15"/>
  <c r="K62" i="15"/>
  <c r="Q61" i="15"/>
  <c r="F60" i="15"/>
  <c r="K53" i="24"/>
  <c r="Q52" i="24"/>
  <c r="V51" i="24"/>
  <c r="T51" i="24"/>
  <c r="E53" i="24"/>
  <c r="R52" i="24"/>
  <c r="V50" i="24"/>
  <c r="U50" i="24"/>
  <c r="T50" i="24"/>
  <c r="L53" i="24"/>
  <c r="P52" i="24"/>
  <c r="F52" i="24" s="1"/>
  <c r="O52" i="24" s="1"/>
  <c r="T52" i="24" s="1"/>
  <c r="U59" i="15" l="1"/>
  <c r="F61" i="15"/>
  <c r="V60" i="15"/>
  <c r="U60" i="15"/>
  <c r="T60" i="15"/>
  <c r="R62" i="15"/>
  <c r="M63" i="15"/>
  <c r="L63" i="15"/>
  <c r="P62" i="15"/>
  <c r="K63" i="15"/>
  <c r="Q62" i="15"/>
  <c r="L54" i="24"/>
  <c r="P53" i="24"/>
  <c r="V52" i="24"/>
  <c r="U52" i="24"/>
  <c r="E54" i="24"/>
  <c r="R53" i="24"/>
  <c r="K54" i="24"/>
  <c r="Q53" i="24"/>
  <c r="V61" i="15" l="1"/>
  <c r="U61" i="15"/>
  <c r="Q63" i="15"/>
  <c r="K64" i="15"/>
  <c r="R63" i="15"/>
  <c r="M64" i="15"/>
  <c r="F62" i="15"/>
  <c r="P63" i="15"/>
  <c r="L64" i="15"/>
  <c r="F53" i="24"/>
  <c r="O53" i="24" s="1"/>
  <c r="E55" i="24"/>
  <c r="R54" i="24"/>
  <c r="L55" i="24"/>
  <c r="P54" i="24"/>
  <c r="F54" i="24" s="1"/>
  <c r="O54" i="24" s="1"/>
  <c r="V54" i="24" s="1"/>
  <c r="K55" i="24"/>
  <c r="Q54" i="24"/>
  <c r="T54" i="24"/>
  <c r="T61" i="15" l="1"/>
  <c r="F63" i="15"/>
  <c r="R64" i="15"/>
  <c r="M65" i="15"/>
  <c r="L65" i="15"/>
  <c r="P64" i="15"/>
  <c r="K65" i="15"/>
  <c r="Q64" i="15"/>
  <c r="V62" i="15"/>
  <c r="T62" i="15"/>
  <c r="U62" i="15"/>
  <c r="L56" i="24"/>
  <c r="P55" i="24"/>
  <c r="F55" i="24" s="1"/>
  <c r="O55" i="24" s="1"/>
  <c r="V55" i="24" s="1"/>
  <c r="U54" i="24"/>
  <c r="K56" i="24"/>
  <c r="Q55" i="24"/>
  <c r="E56" i="24"/>
  <c r="R55" i="24"/>
  <c r="T53" i="24"/>
  <c r="V53" i="24"/>
  <c r="U53" i="24"/>
  <c r="T55" i="24"/>
  <c r="F64" i="15" l="1"/>
  <c r="T63" i="15"/>
  <c r="V63" i="15"/>
  <c r="U63" i="15"/>
  <c r="K66" i="15"/>
  <c r="Q65" i="15"/>
  <c r="P65" i="15"/>
  <c r="L66" i="15"/>
  <c r="R65" i="15"/>
  <c r="M66" i="15"/>
  <c r="U55" i="24"/>
  <c r="K57" i="24"/>
  <c r="Q56" i="24"/>
  <c r="E57" i="24"/>
  <c r="R56" i="24"/>
  <c r="L57" i="24"/>
  <c r="P56" i="24"/>
  <c r="F56" i="24" s="1"/>
  <c r="O56" i="24" s="1"/>
  <c r="V56" i="24" s="1"/>
  <c r="T64" i="15" l="1"/>
  <c r="L67" i="15"/>
  <c r="P66" i="15"/>
  <c r="F65" i="15"/>
  <c r="R66" i="15"/>
  <c r="M67" i="15"/>
  <c r="K67" i="15"/>
  <c r="Q66" i="15"/>
  <c r="T56" i="24"/>
  <c r="E58" i="24"/>
  <c r="R57" i="24"/>
  <c r="U56" i="24"/>
  <c r="L58" i="24"/>
  <c r="P57" i="24"/>
  <c r="F57" i="24" s="1"/>
  <c r="O57" i="24" s="1"/>
  <c r="V57" i="24" s="1"/>
  <c r="K58" i="24"/>
  <c r="Q57" i="24"/>
  <c r="U64" i="15" l="1"/>
  <c r="V64" i="15"/>
  <c r="T65" i="15"/>
  <c r="V65" i="15"/>
  <c r="U65" i="15"/>
  <c r="K68" i="15"/>
  <c r="Q67" i="15"/>
  <c r="F66" i="15"/>
  <c r="R67" i="15"/>
  <c r="M68" i="15"/>
  <c r="P67" i="15"/>
  <c r="L68" i="15"/>
  <c r="T57" i="24"/>
  <c r="U57" i="24"/>
  <c r="K59" i="24"/>
  <c r="Q58" i="24"/>
  <c r="E59" i="24"/>
  <c r="R58" i="24"/>
  <c r="L59" i="24"/>
  <c r="P58" i="24"/>
  <c r="F58" i="24" s="1"/>
  <c r="O58" i="24" s="1"/>
  <c r="V58" i="24" s="1"/>
  <c r="V66" i="15" l="1"/>
  <c r="T66" i="15"/>
  <c r="U66" i="15"/>
  <c r="R68" i="15"/>
  <c r="M69" i="15"/>
  <c r="K69" i="15"/>
  <c r="Q68" i="15"/>
  <c r="P68" i="15"/>
  <c r="L69" i="15"/>
  <c r="F67" i="15"/>
  <c r="T58" i="24"/>
  <c r="L60" i="24"/>
  <c r="P59" i="24"/>
  <c r="K60" i="24"/>
  <c r="Q59" i="24"/>
  <c r="U58" i="24"/>
  <c r="E60" i="24"/>
  <c r="R59" i="24"/>
  <c r="F68" i="15" l="1"/>
  <c r="K70" i="15"/>
  <c r="Q69" i="15"/>
  <c r="T67" i="15"/>
  <c r="U67" i="15"/>
  <c r="V67" i="15"/>
  <c r="P69" i="15"/>
  <c r="L70" i="15"/>
  <c r="R69" i="15"/>
  <c r="M70" i="15"/>
  <c r="F59" i="24"/>
  <c r="O59" i="24" s="1"/>
  <c r="E61" i="24"/>
  <c r="R60" i="24"/>
  <c r="L61" i="24"/>
  <c r="P60" i="24"/>
  <c r="F60" i="24" s="1"/>
  <c r="O60" i="24" s="1"/>
  <c r="U60" i="24" s="1"/>
  <c r="K61" i="24"/>
  <c r="Q60" i="24"/>
  <c r="V60" i="24"/>
  <c r="V68" i="15" l="1"/>
  <c r="F69" i="15"/>
  <c r="K71" i="15"/>
  <c r="Q70" i="15"/>
  <c r="R70" i="15"/>
  <c r="M71" i="15"/>
  <c r="L71" i="15"/>
  <c r="P70" i="15"/>
  <c r="L62" i="24"/>
  <c r="P61" i="24"/>
  <c r="T60" i="24"/>
  <c r="K62" i="24"/>
  <c r="Q61" i="24"/>
  <c r="E62" i="24"/>
  <c r="R61" i="24"/>
  <c r="V59" i="24"/>
  <c r="T59" i="24"/>
  <c r="U59" i="24"/>
  <c r="F70" i="15" l="1"/>
  <c r="T68" i="15"/>
  <c r="U69" i="15"/>
  <c r="U68" i="15"/>
  <c r="Q71" i="15"/>
  <c r="K72" i="15"/>
  <c r="P71" i="15"/>
  <c r="L72" i="15"/>
  <c r="R71" i="15"/>
  <c r="M72" i="15"/>
  <c r="K63" i="24"/>
  <c r="Q62" i="24"/>
  <c r="E63" i="24"/>
  <c r="R62" i="24"/>
  <c r="F61" i="24"/>
  <c r="O61" i="24" s="1"/>
  <c r="L63" i="24"/>
  <c r="P62" i="24"/>
  <c r="F62" i="24" s="1"/>
  <c r="O62" i="24" s="1"/>
  <c r="T62" i="24" s="1"/>
  <c r="U70" i="15" l="1"/>
  <c r="T69" i="15"/>
  <c r="V69" i="15"/>
  <c r="F71" i="15"/>
  <c r="R72" i="15"/>
  <c r="M73" i="15"/>
  <c r="K73" i="15"/>
  <c r="Q72" i="15"/>
  <c r="L73" i="15"/>
  <c r="P72" i="15"/>
  <c r="U62" i="24"/>
  <c r="V62" i="24"/>
  <c r="L64" i="24"/>
  <c r="P63" i="24"/>
  <c r="F63" i="24" s="1"/>
  <c r="O63" i="24" s="1"/>
  <c r="U63" i="24" s="1"/>
  <c r="U61" i="24"/>
  <c r="T61" i="24"/>
  <c r="V61" i="24"/>
  <c r="E64" i="24"/>
  <c r="R63" i="24"/>
  <c r="K64" i="24"/>
  <c r="Q63" i="24"/>
  <c r="T70" i="15" l="1"/>
  <c r="V70" i="15"/>
  <c r="U71" i="15"/>
  <c r="F72" i="15"/>
  <c r="P73" i="15"/>
  <c r="L74" i="15"/>
  <c r="Q73" i="15"/>
  <c r="K74" i="15"/>
  <c r="R73" i="15"/>
  <c r="M74" i="15"/>
  <c r="K65" i="24"/>
  <c r="Q64" i="24"/>
  <c r="L65" i="24"/>
  <c r="P64" i="24"/>
  <c r="V63" i="24"/>
  <c r="T63" i="24"/>
  <c r="E65" i="24"/>
  <c r="R64" i="24"/>
  <c r="V71" i="15" l="1"/>
  <c r="T71" i="15"/>
  <c r="T72" i="15"/>
  <c r="K75" i="15"/>
  <c r="Q74" i="15"/>
  <c r="L75" i="15"/>
  <c r="P74" i="15"/>
  <c r="R74" i="15"/>
  <c r="M75" i="15"/>
  <c r="F73" i="15"/>
  <c r="F64" i="24"/>
  <c r="O64" i="24" s="1"/>
  <c r="L66" i="24"/>
  <c r="P65" i="24"/>
  <c r="E66" i="24"/>
  <c r="R65" i="24"/>
  <c r="K66" i="24"/>
  <c r="Q65" i="24"/>
  <c r="V72" i="15" l="1"/>
  <c r="U72" i="15"/>
  <c r="F74" i="15"/>
  <c r="R75" i="15"/>
  <c r="M76" i="15"/>
  <c r="U73" i="15"/>
  <c r="T73" i="15"/>
  <c r="V73" i="15"/>
  <c r="P75" i="15"/>
  <c r="L76" i="15"/>
  <c r="Q75" i="15"/>
  <c r="K76" i="15"/>
  <c r="K67" i="24"/>
  <c r="Q66" i="24"/>
  <c r="L67" i="24"/>
  <c r="P66" i="24"/>
  <c r="E67" i="24"/>
  <c r="R66" i="24"/>
  <c r="F65" i="24"/>
  <c r="O65" i="24" s="1"/>
  <c r="U64" i="24"/>
  <c r="V64" i="24"/>
  <c r="T64" i="24"/>
  <c r="V74" i="15" l="1"/>
  <c r="K77" i="15"/>
  <c r="Q76" i="15"/>
  <c r="L77" i="15"/>
  <c r="P76" i="15"/>
  <c r="F75" i="15"/>
  <c r="R76" i="15"/>
  <c r="M77" i="15"/>
  <c r="F66" i="24"/>
  <c r="O66" i="24" s="1"/>
  <c r="V65" i="24"/>
  <c r="U65" i="24"/>
  <c r="T65" i="24"/>
  <c r="L68" i="24"/>
  <c r="P67" i="24"/>
  <c r="E68" i="24"/>
  <c r="R67" i="24"/>
  <c r="K68" i="24"/>
  <c r="Q67" i="24"/>
  <c r="T74" i="15" l="1"/>
  <c r="U74" i="15"/>
  <c r="F76" i="15"/>
  <c r="O76" i="15" s="1"/>
  <c r="P77" i="15"/>
  <c r="L78" i="15"/>
  <c r="R77" i="15"/>
  <c r="M78" i="15"/>
  <c r="U75" i="15"/>
  <c r="T75" i="15"/>
  <c r="V75" i="15"/>
  <c r="Q77" i="15"/>
  <c r="K78" i="15"/>
  <c r="E69" i="24"/>
  <c r="R68" i="24"/>
  <c r="F67" i="24"/>
  <c r="O67" i="24" s="1"/>
  <c r="K69" i="24"/>
  <c r="Q68" i="24"/>
  <c r="L69" i="24"/>
  <c r="P68" i="24"/>
  <c r="F68" i="24" s="1"/>
  <c r="O68" i="24" s="1"/>
  <c r="T68" i="24" s="1"/>
  <c r="T66" i="24"/>
  <c r="V66" i="24"/>
  <c r="U66" i="24"/>
  <c r="V76" i="15" l="1"/>
  <c r="U76" i="15"/>
  <c r="T76" i="15"/>
  <c r="K79" i="15"/>
  <c r="Q78" i="15"/>
  <c r="R78" i="15"/>
  <c r="M79" i="15"/>
  <c r="L79" i="15"/>
  <c r="P78" i="15"/>
  <c r="F77" i="15"/>
  <c r="K70" i="24"/>
  <c r="Q69" i="24"/>
  <c r="V67" i="24"/>
  <c r="T67" i="24"/>
  <c r="U67" i="24"/>
  <c r="L70" i="24"/>
  <c r="P69" i="24"/>
  <c r="F69" i="24" s="1"/>
  <c r="O69" i="24" s="1"/>
  <c r="U69" i="24" s="1"/>
  <c r="U68" i="24"/>
  <c r="V68" i="24"/>
  <c r="E70" i="24"/>
  <c r="R69" i="24"/>
  <c r="U77" i="15" l="1"/>
  <c r="T77" i="15"/>
  <c r="V77" i="15"/>
  <c r="F78" i="15"/>
  <c r="R79" i="15"/>
  <c r="M80" i="15"/>
  <c r="L80" i="15"/>
  <c r="P79" i="15"/>
  <c r="K80" i="15"/>
  <c r="Q79" i="15"/>
  <c r="L71" i="24"/>
  <c r="P70" i="24"/>
  <c r="E71" i="24"/>
  <c r="R70" i="24"/>
  <c r="T69" i="24"/>
  <c r="V69" i="24"/>
  <c r="K71" i="24"/>
  <c r="Q70" i="24"/>
  <c r="F79" i="15" l="1"/>
  <c r="V78" i="15"/>
  <c r="U78" i="15"/>
  <c r="T78" i="15"/>
  <c r="P80" i="15"/>
  <c r="L81" i="15"/>
  <c r="R80" i="15"/>
  <c r="M81" i="15"/>
  <c r="Q80" i="15"/>
  <c r="K81" i="15"/>
  <c r="F70" i="24"/>
  <c r="O70" i="24" s="1"/>
  <c r="L72" i="24"/>
  <c r="P71" i="24"/>
  <c r="K72" i="24"/>
  <c r="Q71" i="24"/>
  <c r="E72" i="24"/>
  <c r="R71" i="24"/>
  <c r="V79" i="15" l="1"/>
  <c r="F80" i="15"/>
  <c r="R81" i="15"/>
  <c r="M82" i="15"/>
  <c r="K82" i="15"/>
  <c r="Q81" i="15"/>
  <c r="L82" i="15"/>
  <c r="P81" i="15"/>
  <c r="K73" i="24"/>
  <c r="Q72" i="24"/>
  <c r="F71" i="24"/>
  <c r="O71" i="24" s="1"/>
  <c r="E73" i="24"/>
  <c r="R72" i="24"/>
  <c r="L73" i="24"/>
  <c r="P72" i="24"/>
  <c r="F72" i="24" s="1"/>
  <c r="O72" i="24" s="1"/>
  <c r="V70" i="24"/>
  <c r="U70" i="24"/>
  <c r="T70" i="24"/>
  <c r="T79" i="15" l="1"/>
  <c r="U79" i="15"/>
  <c r="T80" i="15"/>
  <c r="V80" i="15"/>
  <c r="U80" i="15"/>
  <c r="K83" i="15"/>
  <c r="Q82" i="15"/>
  <c r="P82" i="15"/>
  <c r="L83" i="15"/>
  <c r="R82" i="15"/>
  <c r="M83" i="15"/>
  <c r="F81" i="15"/>
  <c r="E74" i="24"/>
  <c r="R73" i="24"/>
  <c r="V71" i="24"/>
  <c r="U71" i="24"/>
  <c r="T71" i="24"/>
  <c r="L74" i="24"/>
  <c r="P73" i="24"/>
  <c r="F73" i="24" s="1"/>
  <c r="O73" i="24" s="1"/>
  <c r="T73" i="24" s="1"/>
  <c r="T72" i="24"/>
  <c r="U72" i="24"/>
  <c r="V72" i="24"/>
  <c r="K74" i="24"/>
  <c r="Q73" i="24"/>
  <c r="F82" i="15" l="1"/>
  <c r="L84" i="15"/>
  <c r="P83" i="15"/>
  <c r="V81" i="15"/>
  <c r="T81" i="15"/>
  <c r="U81" i="15"/>
  <c r="R83" i="15"/>
  <c r="M84" i="15"/>
  <c r="K84" i="15"/>
  <c r="Q83" i="15"/>
  <c r="V73" i="24"/>
  <c r="L75" i="24"/>
  <c r="P74" i="24"/>
  <c r="U73" i="24"/>
  <c r="K75" i="24"/>
  <c r="Q74" i="24"/>
  <c r="E75" i="24"/>
  <c r="R74" i="24"/>
  <c r="V82" i="15" l="1"/>
  <c r="F83" i="15"/>
  <c r="P84" i="15"/>
  <c r="L85" i="15"/>
  <c r="K85" i="15"/>
  <c r="Q84" i="15"/>
  <c r="R84" i="15"/>
  <c r="M85" i="15"/>
  <c r="E76" i="24"/>
  <c r="R75" i="24"/>
  <c r="F74" i="24"/>
  <c r="O74" i="24" s="1"/>
  <c r="L76" i="24"/>
  <c r="P75" i="24"/>
  <c r="K76" i="24"/>
  <c r="Q75" i="24"/>
  <c r="U82" i="15" l="1"/>
  <c r="T82" i="15"/>
  <c r="T83" i="15"/>
  <c r="Q85" i="15"/>
  <c r="K86" i="15"/>
  <c r="R85" i="15"/>
  <c r="M86" i="15"/>
  <c r="L86" i="15"/>
  <c r="P85" i="15"/>
  <c r="F84" i="15"/>
  <c r="L77" i="24"/>
  <c r="P76" i="24"/>
  <c r="K77" i="24"/>
  <c r="Q76" i="24"/>
  <c r="V74" i="24"/>
  <c r="T74" i="24"/>
  <c r="U74" i="24"/>
  <c r="F75" i="24"/>
  <c r="O75" i="24" s="1"/>
  <c r="E77" i="24"/>
  <c r="R76" i="24"/>
  <c r="V83" i="15" l="1"/>
  <c r="U83" i="15"/>
  <c r="R86" i="15"/>
  <c r="M87" i="15"/>
  <c r="F85" i="15"/>
  <c r="K87" i="15"/>
  <c r="Q86" i="15"/>
  <c r="T84" i="15"/>
  <c r="V84" i="15"/>
  <c r="U84" i="15"/>
  <c r="L87" i="15"/>
  <c r="P86" i="15"/>
  <c r="E78" i="24"/>
  <c r="R77" i="24"/>
  <c r="F76" i="24"/>
  <c r="O76" i="24" s="1"/>
  <c r="U75" i="24"/>
  <c r="T75" i="24"/>
  <c r="V75" i="24"/>
  <c r="L78" i="24"/>
  <c r="P77" i="24"/>
  <c r="K78" i="24"/>
  <c r="Q77" i="24"/>
  <c r="F86" i="15" l="1"/>
  <c r="V85" i="15"/>
  <c r="U85" i="15"/>
  <c r="T85" i="15"/>
  <c r="Q87" i="15"/>
  <c r="K88" i="15"/>
  <c r="M88" i="15"/>
  <c r="R87" i="15"/>
  <c r="L88" i="15"/>
  <c r="P87" i="15"/>
  <c r="F77" i="24"/>
  <c r="O77" i="24" s="1"/>
  <c r="L79" i="24"/>
  <c r="P78" i="24"/>
  <c r="V76" i="24"/>
  <c r="U76" i="24"/>
  <c r="T76" i="24"/>
  <c r="K79" i="24"/>
  <c r="Q78" i="24"/>
  <c r="E79" i="24"/>
  <c r="R78" i="24"/>
  <c r="T86" i="15" l="1"/>
  <c r="F87" i="15"/>
  <c r="L89" i="15"/>
  <c r="P88" i="15"/>
  <c r="R88" i="15"/>
  <c r="M89" i="15"/>
  <c r="K89" i="15"/>
  <c r="Q88" i="15"/>
  <c r="L80" i="24"/>
  <c r="P79" i="24"/>
  <c r="F79" i="24" s="1"/>
  <c r="O79" i="24" s="1"/>
  <c r="U79" i="24" s="1"/>
  <c r="T77" i="24"/>
  <c r="V77" i="24"/>
  <c r="U77" i="24"/>
  <c r="E80" i="24"/>
  <c r="R79" i="24"/>
  <c r="K80" i="24"/>
  <c r="Q79" i="24"/>
  <c r="F78" i="24"/>
  <c r="O78" i="24" s="1"/>
  <c r="T79" i="24"/>
  <c r="V86" i="15" l="1"/>
  <c r="U86" i="15"/>
  <c r="T87" i="15"/>
  <c r="F88" i="15"/>
  <c r="Q89" i="15"/>
  <c r="K90" i="15"/>
  <c r="P89" i="15"/>
  <c r="L90" i="15"/>
  <c r="M90" i="15"/>
  <c r="R89" i="15"/>
  <c r="V79" i="24"/>
  <c r="K81" i="24"/>
  <c r="Q80" i="24"/>
  <c r="U78" i="24"/>
  <c r="V78" i="24"/>
  <c r="T78" i="24"/>
  <c r="E81" i="24"/>
  <c r="R80" i="24"/>
  <c r="L81" i="24"/>
  <c r="P80" i="24"/>
  <c r="F80" i="24" s="1"/>
  <c r="O80" i="24" s="1"/>
  <c r="U80" i="24" s="1"/>
  <c r="U87" i="15" l="1"/>
  <c r="T88" i="15"/>
  <c r="V87" i="15"/>
  <c r="R90" i="15"/>
  <c r="M91" i="15"/>
  <c r="L91" i="15"/>
  <c r="P90" i="15"/>
  <c r="F89" i="15"/>
  <c r="K91" i="15"/>
  <c r="Q90" i="15"/>
  <c r="T80" i="24"/>
  <c r="V80" i="24"/>
  <c r="E82" i="24"/>
  <c r="R81" i="24"/>
  <c r="K82" i="24"/>
  <c r="Q81" i="24"/>
  <c r="L82" i="24"/>
  <c r="P81" i="24"/>
  <c r="F81" i="24" s="1"/>
  <c r="O81" i="24" s="1"/>
  <c r="U81" i="24" s="1"/>
  <c r="U88" i="15" l="1"/>
  <c r="V88" i="15"/>
  <c r="F90" i="15"/>
  <c r="L92" i="15"/>
  <c r="P91" i="15"/>
  <c r="K92" i="15"/>
  <c r="Q91" i="15"/>
  <c r="R91" i="15"/>
  <c r="M92" i="15"/>
  <c r="U89" i="15"/>
  <c r="V89" i="15"/>
  <c r="T89" i="15"/>
  <c r="L83" i="24"/>
  <c r="P82" i="24"/>
  <c r="F82" i="24" s="1"/>
  <c r="O82" i="24" s="1"/>
  <c r="T82" i="24" s="1"/>
  <c r="E83" i="24"/>
  <c r="R82" i="24"/>
  <c r="V81" i="24"/>
  <c r="T81" i="24"/>
  <c r="K83" i="24"/>
  <c r="Q82" i="24"/>
  <c r="T90" i="15" l="1"/>
  <c r="F91" i="15"/>
  <c r="K93" i="15"/>
  <c r="Q92" i="15"/>
  <c r="R92" i="15"/>
  <c r="M93" i="15"/>
  <c r="L93" i="15"/>
  <c r="P92" i="15"/>
  <c r="K84" i="24"/>
  <c r="Q83" i="24"/>
  <c r="E84" i="24"/>
  <c r="R83" i="24"/>
  <c r="V82" i="24"/>
  <c r="U82" i="24"/>
  <c r="L84" i="24"/>
  <c r="P83" i="24"/>
  <c r="F83" i="24" s="1"/>
  <c r="O83" i="24" s="1"/>
  <c r="V83" i="24" s="1"/>
  <c r="V90" i="15" l="1"/>
  <c r="U90" i="15"/>
  <c r="R93" i="15"/>
  <c r="M94" i="15"/>
  <c r="F92" i="15"/>
  <c r="P93" i="15"/>
  <c r="L94" i="15"/>
  <c r="K94" i="15"/>
  <c r="Q93" i="15"/>
  <c r="T91" i="15"/>
  <c r="V91" i="15"/>
  <c r="U91" i="15"/>
  <c r="T83" i="24"/>
  <c r="U83" i="24"/>
  <c r="L85" i="24"/>
  <c r="P84" i="24"/>
  <c r="E85" i="24"/>
  <c r="R84" i="24"/>
  <c r="K85" i="24"/>
  <c r="Q84" i="24"/>
  <c r="F93" i="15" l="1"/>
  <c r="V92" i="15"/>
  <c r="U92" i="15"/>
  <c r="T92" i="15"/>
  <c r="K95" i="15"/>
  <c r="Q94" i="15"/>
  <c r="R94" i="15"/>
  <c r="M95" i="15"/>
  <c r="P94" i="15"/>
  <c r="L95" i="15"/>
  <c r="F84" i="24"/>
  <c r="O84" i="24" s="1"/>
  <c r="K86" i="24"/>
  <c r="Q85" i="24"/>
  <c r="L86" i="24"/>
  <c r="P85" i="24"/>
  <c r="F85" i="24" s="1"/>
  <c r="O85" i="24" s="1"/>
  <c r="U85" i="24" s="1"/>
  <c r="E86" i="24"/>
  <c r="R85" i="24"/>
  <c r="V85" i="24"/>
  <c r="V93" i="15" l="1"/>
  <c r="F94" i="15"/>
  <c r="Q95" i="15"/>
  <c r="K96" i="15"/>
  <c r="R95" i="15"/>
  <c r="M96" i="15"/>
  <c r="P95" i="15"/>
  <c r="L96" i="15"/>
  <c r="L87" i="24"/>
  <c r="P86" i="24"/>
  <c r="T85" i="24"/>
  <c r="E87" i="24"/>
  <c r="R86" i="24"/>
  <c r="K87" i="24"/>
  <c r="Q86" i="24"/>
  <c r="T84" i="24"/>
  <c r="U84" i="24"/>
  <c r="V84" i="24"/>
  <c r="T93" i="15" l="1"/>
  <c r="U93" i="15"/>
  <c r="V94" i="15"/>
  <c r="U94" i="15"/>
  <c r="T94" i="15"/>
  <c r="L97" i="15"/>
  <c r="P96" i="15"/>
  <c r="K97" i="15"/>
  <c r="Q96" i="15"/>
  <c r="F95" i="15"/>
  <c r="R96" i="15"/>
  <c r="M97" i="15"/>
  <c r="K88" i="24"/>
  <c r="Q87" i="24"/>
  <c r="F86" i="24"/>
  <c r="O86" i="24" s="1"/>
  <c r="E88" i="24"/>
  <c r="R87" i="24"/>
  <c r="L88" i="24"/>
  <c r="P87" i="24"/>
  <c r="F87" i="24" s="1"/>
  <c r="O87" i="24" s="1"/>
  <c r="T95" i="15" l="1"/>
  <c r="U95" i="15"/>
  <c r="V95" i="15"/>
  <c r="P97" i="15"/>
  <c r="L98" i="15"/>
  <c r="R97" i="15"/>
  <c r="M98" i="15"/>
  <c r="Q97" i="15"/>
  <c r="K98" i="15"/>
  <c r="F96" i="15"/>
  <c r="V87" i="24"/>
  <c r="U87" i="24"/>
  <c r="T87" i="24"/>
  <c r="U86" i="24"/>
  <c r="T86" i="24"/>
  <c r="V86" i="24"/>
  <c r="L89" i="24"/>
  <c r="P88" i="24"/>
  <c r="E89" i="24"/>
  <c r="R88" i="24"/>
  <c r="K89" i="24"/>
  <c r="Q88" i="24"/>
  <c r="R98" i="15" l="1"/>
  <c r="M99" i="15"/>
  <c r="F97" i="15"/>
  <c r="V96" i="15"/>
  <c r="T96" i="15"/>
  <c r="U96" i="15"/>
  <c r="K99" i="15"/>
  <c r="Q98" i="15"/>
  <c r="P98" i="15"/>
  <c r="L99" i="15"/>
  <c r="E90" i="24"/>
  <c r="R89" i="24"/>
  <c r="F88" i="24"/>
  <c r="O88" i="24" s="1"/>
  <c r="K90" i="24"/>
  <c r="Q89" i="24"/>
  <c r="L90" i="24"/>
  <c r="P89" i="24"/>
  <c r="F89" i="24" s="1"/>
  <c r="O89" i="24" s="1"/>
  <c r="T89" i="24" s="1"/>
  <c r="T97" i="15" l="1"/>
  <c r="U97" i="15"/>
  <c r="V97" i="15"/>
  <c r="K100" i="15"/>
  <c r="Q99" i="15"/>
  <c r="P99" i="15"/>
  <c r="L100" i="15"/>
  <c r="R99" i="15"/>
  <c r="M100" i="15"/>
  <c r="F98" i="15"/>
  <c r="U88" i="24"/>
  <c r="V88" i="24"/>
  <c r="T88" i="24"/>
  <c r="U89" i="24"/>
  <c r="L91" i="24"/>
  <c r="P90" i="24"/>
  <c r="V89" i="24"/>
  <c r="K91" i="24"/>
  <c r="Q90" i="24"/>
  <c r="E91" i="24"/>
  <c r="R90" i="24"/>
  <c r="P100" i="15" l="1"/>
  <c r="L101" i="15"/>
  <c r="V98" i="15"/>
  <c r="U98" i="15"/>
  <c r="T98" i="15"/>
  <c r="F99" i="15"/>
  <c r="K101" i="15"/>
  <c r="Q100" i="15"/>
  <c r="R100" i="15"/>
  <c r="M101" i="15"/>
  <c r="E92" i="24"/>
  <c r="R91" i="24"/>
  <c r="F90" i="24"/>
  <c r="O90" i="24" s="1"/>
  <c r="L92" i="24"/>
  <c r="P91" i="24"/>
  <c r="K92" i="24"/>
  <c r="Q91" i="24"/>
  <c r="Q101" i="15" l="1"/>
  <c r="K102" i="15"/>
  <c r="T99" i="15"/>
  <c r="V99" i="15"/>
  <c r="U99" i="15"/>
  <c r="P101" i="15"/>
  <c r="L102" i="15"/>
  <c r="R101" i="15"/>
  <c r="M102" i="15"/>
  <c r="F100" i="15"/>
  <c r="L93" i="24"/>
  <c r="P92" i="24"/>
  <c r="V90" i="24"/>
  <c r="U90" i="24"/>
  <c r="T90" i="24"/>
  <c r="K93" i="24"/>
  <c r="Q92" i="24"/>
  <c r="F91" i="24"/>
  <c r="O91" i="24" s="1"/>
  <c r="E93" i="24"/>
  <c r="R92" i="24"/>
  <c r="P102" i="15" l="1"/>
  <c r="L103" i="15"/>
  <c r="V100" i="15"/>
  <c r="U100" i="15"/>
  <c r="T100" i="15"/>
  <c r="F101" i="15"/>
  <c r="K103" i="15"/>
  <c r="Q102" i="15"/>
  <c r="R102" i="15"/>
  <c r="M103" i="15"/>
  <c r="V91" i="24"/>
  <c r="T91" i="24"/>
  <c r="U91" i="24"/>
  <c r="K94" i="24"/>
  <c r="Q93" i="24"/>
  <c r="F92" i="24"/>
  <c r="O92" i="24" s="1"/>
  <c r="E94" i="24"/>
  <c r="R93" i="24"/>
  <c r="L94" i="24"/>
  <c r="P93" i="24"/>
  <c r="F93" i="24" s="1"/>
  <c r="O93" i="24" s="1"/>
  <c r="V93" i="24" s="1"/>
  <c r="K104" i="15" l="1"/>
  <c r="Q103" i="15"/>
  <c r="T101" i="15"/>
  <c r="U101" i="15"/>
  <c r="V101" i="15"/>
  <c r="P103" i="15"/>
  <c r="L104" i="15"/>
  <c r="R103" i="15"/>
  <c r="M104" i="15"/>
  <c r="F102" i="15"/>
  <c r="U93" i="24"/>
  <c r="K95" i="24"/>
  <c r="Q94" i="24"/>
  <c r="T93" i="24"/>
  <c r="E95" i="24"/>
  <c r="R94" i="24"/>
  <c r="T92" i="24"/>
  <c r="U92" i="24"/>
  <c r="V92" i="24"/>
  <c r="L95" i="24"/>
  <c r="P94" i="24"/>
  <c r="F94" i="24" s="1"/>
  <c r="O94" i="24" s="1"/>
  <c r="V94" i="24" s="1"/>
  <c r="L105" i="15" l="1"/>
  <c r="P104" i="15"/>
  <c r="F103" i="15"/>
  <c r="V102" i="15"/>
  <c r="U102" i="15"/>
  <c r="T102" i="15"/>
  <c r="R104" i="15"/>
  <c r="M105" i="15"/>
  <c r="K105" i="15"/>
  <c r="Q104" i="15"/>
  <c r="T94" i="24"/>
  <c r="U94" i="24"/>
  <c r="L96" i="24"/>
  <c r="P95" i="24"/>
  <c r="K96" i="24"/>
  <c r="Q95" i="24"/>
  <c r="E96" i="24"/>
  <c r="R95" i="24"/>
  <c r="R105" i="15" l="1"/>
  <c r="M106" i="15"/>
  <c r="T103" i="15"/>
  <c r="V103" i="15"/>
  <c r="U103" i="15"/>
  <c r="F104" i="15"/>
  <c r="Q105" i="15"/>
  <c r="K106" i="15"/>
  <c r="P105" i="15"/>
  <c r="L106" i="15"/>
  <c r="F95" i="24"/>
  <c r="O95" i="24" s="1"/>
  <c r="E97" i="24"/>
  <c r="R96" i="24"/>
  <c r="L97" i="24"/>
  <c r="P96" i="24"/>
  <c r="F96" i="24" s="1"/>
  <c r="O96" i="24" s="1"/>
  <c r="T96" i="24" s="1"/>
  <c r="K97" i="24"/>
  <c r="Q96" i="24"/>
  <c r="U96" i="24"/>
  <c r="V104" i="15" l="1"/>
  <c r="T104" i="15"/>
  <c r="U104" i="15"/>
  <c r="R106" i="15"/>
  <c r="M107" i="15"/>
  <c r="K107" i="15"/>
  <c r="Q106" i="15"/>
  <c r="L107" i="15"/>
  <c r="P106" i="15"/>
  <c r="F105" i="15"/>
  <c r="V96" i="24"/>
  <c r="L98" i="24"/>
  <c r="P97" i="24"/>
  <c r="K98" i="24"/>
  <c r="Q97" i="24"/>
  <c r="E98" i="24"/>
  <c r="R97" i="24"/>
  <c r="U95" i="24"/>
  <c r="T95" i="24"/>
  <c r="V95" i="24"/>
  <c r="P107" i="15" l="1"/>
  <c r="L108" i="15"/>
  <c r="U105" i="15"/>
  <c r="T105" i="15"/>
  <c r="V105" i="15"/>
  <c r="Q107" i="15"/>
  <c r="K108" i="15"/>
  <c r="F106" i="15"/>
  <c r="R107" i="15"/>
  <c r="M108" i="15"/>
  <c r="K99" i="24"/>
  <c r="Q98" i="24"/>
  <c r="F97" i="24"/>
  <c r="O97" i="24" s="1"/>
  <c r="E99" i="24"/>
  <c r="R98" i="24"/>
  <c r="L99" i="24"/>
  <c r="P98" i="24"/>
  <c r="F98" i="24" s="1"/>
  <c r="O98" i="24" s="1"/>
  <c r="U98" i="24" s="1"/>
  <c r="V106" i="15" l="1"/>
  <c r="T106" i="15"/>
  <c r="U106" i="15"/>
  <c r="K109" i="15"/>
  <c r="Q108" i="15"/>
  <c r="R108" i="15"/>
  <c r="M109" i="15"/>
  <c r="L109" i="15"/>
  <c r="P108" i="15"/>
  <c r="F107" i="15"/>
  <c r="E100" i="24"/>
  <c r="R99" i="24"/>
  <c r="T97" i="24"/>
  <c r="V97" i="24"/>
  <c r="U97" i="24"/>
  <c r="V98" i="24"/>
  <c r="L100" i="24"/>
  <c r="P99" i="24"/>
  <c r="T98" i="24"/>
  <c r="K100" i="24"/>
  <c r="Q99" i="24"/>
  <c r="R109" i="15" l="1"/>
  <c r="M110" i="15"/>
  <c r="P109" i="15"/>
  <c r="F109" i="15" s="1"/>
  <c r="L110" i="15"/>
  <c r="Q109" i="15"/>
  <c r="K110" i="15"/>
  <c r="U107" i="15"/>
  <c r="T107" i="15"/>
  <c r="V107" i="15"/>
  <c r="F108" i="15"/>
  <c r="K101" i="24"/>
  <c r="Q100" i="24"/>
  <c r="F99" i="24"/>
  <c r="O99" i="24" s="1"/>
  <c r="L101" i="24"/>
  <c r="P100" i="24"/>
  <c r="E101" i="24"/>
  <c r="R100" i="24"/>
  <c r="V108" i="15" l="1"/>
  <c r="T108" i="15"/>
  <c r="U108" i="15"/>
  <c r="L111" i="15"/>
  <c r="P110" i="15"/>
  <c r="U109" i="15"/>
  <c r="T109" i="15"/>
  <c r="V109" i="15"/>
  <c r="K111" i="15"/>
  <c r="Q110" i="15"/>
  <c r="R110" i="15"/>
  <c r="M111" i="15"/>
  <c r="L102" i="24"/>
  <c r="P101" i="24"/>
  <c r="U99" i="24"/>
  <c r="T99" i="24"/>
  <c r="V99" i="24"/>
  <c r="E102" i="24"/>
  <c r="R101" i="24"/>
  <c r="F100" i="24"/>
  <c r="O100" i="24" s="1"/>
  <c r="K102" i="24"/>
  <c r="Q101" i="24"/>
  <c r="R111" i="15" l="1"/>
  <c r="M112" i="15"/>
  <c r="P111" i="15"/>
  <c r="L112" i="15"/>
  <c r="Q111" i="15"/>
  <c r="K112" i="15"/>
  <c r="F110" i="15"/>
  <c r="U100" i="24"/>
  <c r="T100" i="24"/>
  <c r="V100" i="24"/>
  <c r="E103" i="24"/>
  <c r="R102" i="24"/>
  <c r="F101" i="24"/>
  <c r="O101" i="24" s="1"/>
  <c r="K103" i="24"/>
  <c r="Q102" i="24"/>
  <c r="L103" i="24"/>
  <c r="P102" i="24"/>
  <c r="F102" i="24" s="1"/>
  <c r="O102" i="24" s="1"/>
  <c r="T102" i="24" s="1"/>
  <c r="L113" i="15" l="1"/>
  <c r="P112" i="15"/>
  <c r="V110" i="15"/>
  <c r="U110" i="15"/>
  <c r="T110" i="15"/>
  <c r="F111" i="15"/>
  <c r="K113" i="15"/>
  <c r="Q112" i="15"/>
  <c r="R112" i="15"/>
  <c r="M113" i="15"/>
  <c r="E104" i="24"/>
  <c r="R103" i="24"/>
  <c r="V102" i="24"/>
  <c r="K104" i="24"/>
  <c r="Q103" i="24"/>
  <c r="T101" i="24"/>
  <c r="U101" i="24"/>
  <c r="V101" i="24"/>
  <c r="U102" i="24"/>
  <c r="L104" i="24"/>
  <c r="P103" i="24"/>
  <c r="F103" i="24" s="1"/>
  <c r="O103" i="24" s="1"/>
  <c r="V103" i="24" s="1"/>
  <c r="U103" i="24"/>
  <c r="Q113" i="15" l="1"/>
  <c r="Q3" i="15" s="1"/>
  <c r="K114" i="15"/>
  <c r="R113" i="15"/>
  <c r="R3" i="15" s="1"/>
  <c r="M114" i="15"/>
  <c r="F112" i="15"/>
  <c r="U111" i="15"/>
  <c r="T111" i="15"/>
  <c r="V111" i="15"/>
  <c r="L114" i="15"/>
  <c r="P113" i="15"/>
  <c r="T103" i="24"/>
  <c r="K105" i="24"/>
  <c r="Q104" i="24"/>
  <c r="L105" i="24"/>
  <c r="P104" i="24"/>
  <c r="F104" i="24" s="1"/>
  <c r="O104" i="24" s="1"/>
  <c r="T104" i="24" s="1"/>
  <c r="E105" i="24"/>
  <c r="R104" i="24"/>
  <c r="L115" i="15" l="1"/>
  <c r="P115" i="15" s="1"/>
  <c r="P114" i="15"/>
  <c r="V112" i="15"/>
  <c r="U112" i="15"/>
  <c r="T112" i="15"/>
  <c r="R114" i="15"/>
  <c r="M115" i="15"/>
  <c r="R115" i="15" s="1"/>
  <c r="F113" i="15"/>
  <c r="P3" i="15"/>
  <c r="Q114" i="15"/>
  <c r="K115" i="15"/>
  <c r="Q115" i="15" s="1"/>
  <c r="U104" i="24"/>
  <c r="L106" i="24"/>
  <c r="P105" i="24"/>
  <c r="V104" i="24"/>
  <c r="E106" i="24"/>
  <c r="R105" i="24"/>
  <c r="K106" i="24"/>
  <c r="Q105" i="24"/>
  <c r="U113" i="15" l="1"/>
  <c r="T113" i="15"/>
  <c r="V113" i="15"/>
  <c r="K107" i="24"/>
  <c r="Q106" i="24"/>
  <c r="F105" i="24"/>
  <c r="O105" i="24" s="1"/>
  <c r="L107" i="24"/>
  <c r="P106" i="24"/>
  <c r="E107" i="24"/>
  <c r="R106" i="24"/>
  <c r="L108" i="24" l="1"/>
  <c r="P107" i="24"/>
  <c r="V105" i="24"/>
  <c r="T105" i="24"/>
  <c r="U105" i="24"/>
  <c r="E108" i="24"/>
  <c r="R107" i="24"/>
  <c r="F106" i="24"/>
  <c r="O106" i="24" s="1"/>
  <c r="K108" i="24"/>
  <c r="Q107" i="24"/>
  <c r="U106" i="24" l="1"/>
  <c r="T106" i="24"/>
  <c r="V106" i="24"/>
  <c r="F107" i="24"/>
  <c r="O107" i="24" s="1"/>
  <c r="E109" i="24"/>
  <c r="R108" i="24"/>
  <c r="K109" i="24"/>
  <c r="Q108" i="24"/>
  <c r="L109" i="24"/>
  <c r="P108" i="24"/>
  <c r="V107" i="24" l="1"/>
  <c r="T107" i="24"/>
  <c r="U107" i="24"/>
  <c r="K110" i="24"/>
  <c r="Q109" i="24"/>
  <c r="F108" i="24"/>
  <c r="O108" i="24" s="1"/>
  <c r="L110" i="24"/>
  <c r="P109" i="24"/>
  <c r="F109" i="24" s="1"/>
  <c r="O109" i="24" s="1"/>
  <c r="T109" i="24" s="1"/>
  <c r="E110" i="24"/>
  <c r="R109" i="24"/>
  <c r="K111" i="24" l="1"/>
  <c r="Q110" i="24"/>
  <c r="L111" i="24"/>
  <c r="P110" i="24"/>
  <c r="V108" i="24"/>
  <c r="T108" i="24"/>
  <c r="U108" i="24"/>
  <c r="U109" i="24"/>
  <c r="V109" i="24"/>
  <c r="E111" i="24"/>
  <c r="R110" i="24"/>
  <c r="F110" i="24" l="1"/>
  <c r="O110" i="24" s="1"/>
  <c r="L112" i="24"/>
  <c r="P111" i="24"/>
  <c r="E112" i="24"/>
  <c r="R111" i="24"/>
  <c r="K112" i="24"/>
  <c r="Q111" i="24"/>
  <c r="E113" i="24" l="1"/>
  <c r="R113" i="24" s="1"/>
  <c r="R3" i="24" s="1"/>
  <c r="R112" i="24"/>
  <c r="F111" i="24"/>
  <c r="O111" i="24" s="1"/>
  <c r="K113" i="24"/>
  <c r="Q112" i="24"/>
  <c r="L113" i="24"/>
  <c r="P112" i="24"/>
  <c r="F112" i="24" s="1"/>
  <c r="O112" i="24" s="1"/>
  <c r="V112" i="24" s="1"/>
  <c r="U110" i="24"/>
  <c r="T110" i="24"/>
  <c r="V110" i="24"/>
  <c r="R114" i="24"/>
  <c r="R115" i="24"/>
  <c r="T112" i="24" l="1"/>
  <c r="U112" i="24"/>
  <c r="K114" i="24"/>
  <c r="Q113" i="24"/>
  <c r="Q3" i="24" s="1"/>
  <c r="U111" i="24"/>
  <c r="V111" i="24"/>
  <c r="T111" i="24"/>
  <c r="L114" i="24"/>
  <c r="P113" i="24"/>
  <c r="O115" i="24"/>
  <c r="O114" i="24"/>
  <c r="K115" i="24" l="1"/>
  <c r="Q115" i="24" s="1"/>
  <c r="Q114" i="24"/>
  <c r="L115" i="24"/>
  <c r="P115" i="24" s="1"/>
  <c r="P114" i="24"/>
  <c r="F113" i="24"/>
  <c r="O113" i="24" s="1"/>
  <c r="P3" i="24"/>
  <c r="T114" i="24"/>
  <c r="V114" i="24"/>
  <c r="U114" i="24"/>
  <c r="V115" i="24"/>
  <c r="U115" i="24"/>
  <c r="T115" i="24"/>
  <c r="T113" i="24" l="1"/>
  <c r="V113" i="24"/>
  <c r="U113" i="24"/>
</calcChain>
</file>

<file path=xl/sharedStrings.xml><?xml version="1.0" encoding="utf-8"?>
<sst xmlns="http://schemas.openxmlformats.org/spreadsheetml/2006/main" count="71" uniqueCount="46">
  <si>
    <t>Week Ending</t>
  </si>
  <si>
    <t>X</t>
  </si>
  <si>
    <t>Start Date</t>
  </si>
  <si>
    <t>End Date</t>
  </si>
  <si>
    <t>Days on Hold</t>
  </si>
  <si>
    <t>Cycle Time</t>
  </si>
  <si>
    <t>Team?</t>
  </si>
  <si>
    <t>Tech (Blue)?</t>
  </si>
  <si>
    <t>Defect(Green)?</t>
  </si>
  <si>
    <t>Spike?</t>
  </si>
  <si>
    <t>Non-Deployable?</t>
  </si>
  <si>
    <t>Hotfix?</t>
  </si>
  <si>
    <t>Notes</t>
  </si>
  <si>
    <t>User Story</t>
  </si>
  <si>
    <t>Projected Throughput</t>
  </si>
  <si>
    <t>Accumulated Scope</t>
  </si>
  <si>
    <t>Stories Done (Epics &amp; Enhancements)</t>
  </si>
  <si>
    <t>Stories Done (Epic Only)</t>
  </si>
  <si>
    <t>Stories Added (Epic Only)</t>
  </si>
  <si>
    <t>Throughput</t>
  </si>
  <si>
    <t>Initial Scope</t>
  </si>
  <si>
    <t>Projected Scope</t>
  </si>
  <si>
    <t>Std Dev</t>
  </si>
  <si>
    <t xml:space="preserve"> </t>
  </si>
  <si>
    <t>Pessimistic</t>
  </si>
  <si>
    <t>Optimistic</t>
  </si>
  <si>
    <t>T</t>
  </si>
  <si>
    <t>Rolling 8 card Average Cycle Time</t>
  </si>
  <si>
    <t>Internal Growth</t>
  </si>
  <si>
    <t>Historic Growth</t>
  </si>
  <si>
    <t>Story</t>
  </si>
  <si>
    <t>D</t>
  </si>
  <si>
    <t>S</t>
  </si>
  <si>
    <t>N</t>
  </si>
  <si>
    <t>H</t>
  </si>
  <si>
    <t>GWIPP2</t>
  </si>
  <si>
    <t>First completed card</t>
  </si>
  <si>
    <t>4-Week Throughput Average</t>
  </si>
  <si>
    <t>Target Week Migration Completion</t>
  </si>
  <si>
    <t>4-wk Growth Average</t>
  </si>
  <si>
    <t>Accumulated Throuhput</t>
  </si>
  <si>
    <t>K Trigger</t>
  </si>
  <si>
    <t>J Trigger</t>
  </si>
  <si>
    <t>L Trigger</t>
  </si>
  <si>
    <t>Date</t>
  </si>
  <si>
    <t>Report Trigger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</si>
</sst>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7" x14ac:knownFonts="1">
    <font>
      <sz val="10"/>
      <color rgb="FF000000"/>
      <name val="Arial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3F3F76"/>
      <name val="Calibri"/>
      <family val="2"/>
      <scheme val="minor"/>
    </font>
    <font>
      <u/>
      <sz val="10"/>
      <color theme="10"/>
      <name val="Arial"/>
      <family val="2"/>
    </font>
    <font>
      <sz val="8"/>
      <color rgb="FF333333"/>
      <name val="Helvetica"/>
      <family val="2"/>
    </font>
    <font>
      <sz val="8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9DAF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4" fillId="0" borderId="0" applyNumberFormat="0" applyFill="0" applyBorder="0" applyAlignment="0" applyProtection="0"/>
  </cellStyleXfs>
  <cellXfs count="43"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" fillId="3" borderId="2" xfId="0" applyFont="1" applyFill="1" applyBorder="1" applyAlignment="1">
      <alignment horizontal="center" wrapText="1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 wrapText="1"/>
    </xf>
    <xf numFmtId="14" fontId="3" fillId="2" borderId="1" xfId="1" applyNumberFormat="1" applyBorder="1" applyAlignment="1">
      <alignment horizontal="center" wrapText="1"/>
    </xf>
    <xf numFmtId="0" fontId="3" fillId="2" borderId="1" xfId="1" applyBorder="1" applyAlignment="1">
      <alignment horizontal="center" wrapText="1"/>
    </xf>
    <xf numFmtId="164" fontId="0" fillId="0" borderId="3" xfId="0" applyNumberFormat="1" applyFill="1" applyBorder="1" applyAlignment="1">
      <alignment horizontal="center" wrapText="1"/>
    </xf>
    <xf numFmtId="0" fontId="3" fillId="2" borderId="4" xfId="1" applyBorder="1" applyAlignment="1">
      <alignment horizontal="center" wrapText="1"/>
    </xf>
    <xf numFmtId="0" fontId="3" fillId="2" borderId="5" xfId="1" applyBorder="1" applyAlignment="1">
      <alignment horizontal="center" wrapText="1"/>
    </xf>
    <xf numFmtId="0" fontId="3" fillId="2" borderId="6" xfId="1" applyBorder="1" applyAlignment="1">
      <alignment horizontal="center" wrapText="1"/>
    </xf>
    <xf numFmtId="0" fontId="0" fillId="0" borderId="0" xfId="0"/>
    <xf numFmtId="0" fontId="3" fillId="2" borderId="1" xfId="1" applyBorder="1" applyAlignment="1">
      <alignment horizontal="left"/>
    </xf>
    <xf numFmtId="0" fontId="1" fillId="3" borderId="7" xfId="0" applyFont="1" applyFill="1" applyBorder="1" applyAlignment="1">
      <alignment horizontal="center" wrapText="1"/>
    </xf>
    <xf numFmtId="0" fontId="2" fillId="0" borderId="8" xfId="0" applyFont="1" applyBorder="1" applyAlignment="1">
      <alignment horizontal="center" textRotation="90" wrapText="1"/>
    </xf>
    <xf numFmtId="0" fontId="2" fillId="0" borderId="0" xfId="0" applyFont="1" applyBorder="1" applyAlignment="1">
      <alignment horizontal="center" textRotation="90" wrapText="1"/>
    </xf>
    <xf numFmtId="0" fontId="0" fillId="0" borderId="0" xfId="0" applyBorder="1" applyAlignment="1">
      <alignment horizontal="center" textRotation="90" wrapText="1"/>
    </xf>
    <xf numFmtId="0" fontId="2" fillId="0" borderId="9" xfId="0" applyFont="1" applyBorder="1" applyAlignment="1">
      <alignment horizontal="center" textRotation="90" wrapText="1"/>
    </xf>
    <xf numFmtId="0" fontId="1" fillId="0" borderId="10" xfId="0" applyFont="1" applyFill="1" applyBorder="1" applyAlignment="1">
      <alignment horizontal="center" wrapText="1"/>
    </xf>
    <xf numFmtId="0" fontId="0" fillId="0" borderId="0" xfId="0" applyFill="1" applyBorder="1" applyAlignment="1">
      <alignment wrapText="1"/>
    </xf>
    <xf numFmtId="4" fontId="0" fillId="0" borderId="2" xfId="0" applyNumberFormat="1" applyFill="1" applyBorder="1" applyAlignment="1">
      <alignment horizontal="center" wrapText="1"/>
    </xf>
    <xf numFmtId="4" fontId="0" fillId="0" borderId="0" xfId="0" applyNumberFormat="1" applyFill="1" applyBorder="1" applyAlignment="1">
      <alignment horizontal="center" wrapText="1"/>
    </xf>
    <xf numFmtId="3" fontId="0" fillId="0" borderId="2" xfId="0" applyNumberFormat="1" applyFill="1" applyBorder="1" applyAlignment="1">
      <alignment horizontal="center" wrapText="1"/>
    </xf>
    <xf numFmtId="2" fontId="0" fillId="0" borderId="0" xfId="0" applyNumberFormat="1" applyAlignment="1">
      <alignment wrapText="1"/>
    </xf>
    <xf numFmtId="14" fontId="3" fillId="4" borderId="1" xfId="1" applyNumberFormat="1" applyFill="1" applyBorder="1" applyAlignment="1">
      <alignment horizontal="center" wrapText="1"/>
    </xf>
    <xf numFmtId="0" fontId="3" fillId="4" borderId="1" xfId="1" applyFill="1" applyBorder="1" applyAlignment="1">
      <alignment horizontal="center" wrapText="1"/>
    </xf>
    <xf numFmtId="164" fontId="0" fillId="4" borderId="3" xfId="0" applyNumberFormat="1" applyFill="1" applyBorder="1" applyAlignment="1">
      <alignment horizontal="center" wrapText="1"/>
    </xf>
    <xf numFmtId="0" fontId="3" fillId="4" borderId="4" xfId="1" applyFill="1" applyBorder="1" applyAlignment="1">
      <alignment horizontal="center" wrapText="1"/>
    </xf>
    <xf numFmtId="0" fontId="3" fillId="4" borderId="5" xfId="1" applyFill="1" applyBorder="1" applyAlignment="1">
      <alignment horizontal="center" wrapText="1"/>
    </xf>
    <xf numFmtId="0" fontId="3" fillId="4" borderId="6" xfId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wrapText="1"/>
    </xf>
    <xf numFmtId="14" fontId="3" fillId="2" borderId="1" xfId="1" applyNumberFormat="1" applyAlignment="1">
      <alignment horizontal="center" wrapText="1"/>
    </xf>
    <xf numFmtId="14" fontId="0" fillId="0" borderId="0" xfId="0" applyNumberFormat="1" applyAlignment="1">
      <alignment wrapText="1"/>
    </xf>
    <xf numFmtId="0" fontId="4" fillId="2" borderId="1" xfId="2" applyFill="1" applyBorder="1" applyAlignment="1">
      <alignment horizontal="left"/>
    </xf>
    <xf numFmtId="0" fontId="5" fillId="0" borderId="0" xfId="0" applyFont="1" applyAlignment="1">
      <alignment wrapText="1"/>
    </xf>
    <xf numFmtId="0" fontId="1" fillId="4" borderId="2" xfId="0" applyFont="1" applyFill="1" applyBorder="1" applyAlignment="1">
      <alignment horizontal="center" wrapText="1"/>
    </xf>
    <xf numFmtId="0" fontId="1" fillId="5" borderId="2" xfId="0" applyFont="1" applyFill="1" applyBorder="1" applyAlignment="1">
      <alignment horizontal="center" wrapText="1"/>
    </xf>
    <xf numFmtId="0" fontId="0" fillId="4" borderId="0" xfId="0" applyFill="1" applyAlignment="1">
      <alignment horizontal="center" wrapText="1"/>
    </xf>
    <xf numFmtId="2" fontId="0" fillId="4" borderId="0" xfId="0" applyNumberFormat="1" applyFill="1" applyAlignment="1">
      <alignment horizontal="center" wrapText="1"/>
    </xf>
    <xf numFmtId="0" fontId="0" fillId="0" borderId="11" xfId="0" applyBorder="1" applyAlignment="1">
      <alignment wrapText="1"/>
    </xf>
    <xf numFmtId="4" fontId="0" fillId="0" borderId="0" xfId="0" applyNumberFormat="1" applyAlignment="1">
      <alignment wrapText="1"/>
    </xf>
  </cellXfs>
  <cellStyles count="3">
    <cellStyle name="Hyperlink" xfId="2" builtinId="8"/>
    <cellStyle name="Input" xfId="1" builtinId="20"/>
    <cellStyle name="Normal" xfId="0" builtinId="0"/>
  </cellStyles>
  <dxfs count="0"/>
  <tableStyles count="0" defaultTableStyle="TableStyleMedium9" defaultPivotStyle="PivotStyleLight16"/>
  <colors>
    <mruColors>
      <color rgb="FFFFFF99"/>
      <color rgb="FF953735"/>
      <color rgb="FF4F59BD"/>
      <color rgb="FF4F5981"/>
      <color rgb="FF95B3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2176741266120362E-2"/>
          <c:y val="9.3944006999125113E-2"/>
          <c:w val="0.92271984131754525"/>
          <c:h val="0.65737369495479736"/>
        </c:manualLayout>
      </c:layout>
      <c:barChart>
        <c:barDir val="col"/>
        <c:grouping val="clustered"/>
        <c:varyColors val="0"/>
        <c:ser>
          <c:idx val="0"/>
          <c:order val="3"/>
          <c:tx>
            <c:strRef>
              <c:f>'Weekly Throughput'!$O$4</c:f>
              <c:strCache>
                <c:ptCount val="1"/>
                <c:pt idx="0">
                  <c:v>Date</c:v>
                </c:pt>
              </c:strCache>
            </c:strRef>
          </c:tx>
          <c:spPr>
            <a:solidFill>
              <a:schemeClr val="accent1"/>
            </a:solidFill>
            <a:ln w="25400" cmpd="sng">
              <a:solidFill>
                <a:schemeClr val="accent1"/>
              </a:solidFill>
            </a:ln>
          </c:spPr>
          <c:invertIfNegative val="0"/>
          <c:dLbls>
            <c:delete val="1"/>
          </c:dLbls>
          <c:cat>
            <c:numLit>
              <c:formatCode>General</c:formatCode>
              <c:ptCount val="109"/>
              <c:pt idx="0">
                <c:v>43714</c:v>
              </c:pt>
              <c:pt idx="1">
                <c:v>43721</c:v>
              </c:pt>
              <c:pt idx="2">
                <c:v>43728</c:v>
              </c:pt>
              <c:pt idx="3">
                <c:v>43735</c:v>
              </c:pt>
              <c:pt idx="4">
                <c:v>43742</c:v>
              </c:pt>
              <c:pt idx="5">
                <c:v>43749</c:v>
              </c:pt>
              <c:pt idx="6">
                <c:v>43756</c:v>
              </c:pt>
              <c:pt idx="7">
                <c:v>43763</c:v>
              </c:pt>
              <c:pt idx="8">
                <c:v>43770</c:v>
              </c:pt>
              <c:pt idx="9">
                <c:v>43777</c:v>
              </c:pt>
              <c:pt idx="10">
                <c:v>43784</c:v>
              </c:pt>
              <c:pt idx="11">
                <c:v>43791</c:v>
              </c:pt>
              <c:pt idx="12">
                <c:v>43798</c:v>
              </c:pt>
              <c:pt idx="13">
                <c:v>43805</c:v>
              </c:pt>
              <c:pt idx="14">
                <c:v>43812</c:v>
              </c:pt>
              <c:pt idx="15">
                <c:v>43819</c:v>
              </c:pt>
              <c:pt idx="16">
                <c:v>43826</c:v>
              </c:pt>
              <c:pt idx="17">
                <c:v>43833</c:v>
              </c:pt>
              <c:pt idx="18">
                <c:v>43840</c:v>
              </c:pt>
              <c:pt idx="19">
                <c:v>43847</c:v>
              </c:pt>
              <c:pt idx="20">
                <c:v>43854</c:v>
              </c:pt>
              <c:pt idx="21">
                <c:v>43861</c:v>
              </c:pt>
              <c:pt idx="22">
                <c:v>43868</c:v>
              </c:pt>
              <c:pt idx="23">
                <c:v>43875</c:v>
              </c:pt>
              <c:pt idx="24">
                <c:v>43882</c:v>
              </c:pt>
              <c:pt idx="25">
                <c:v>43889</c:v>
              </c:pt>
              <c:pt idx="26">
                <c:v>43896</c:v>
              </c:pt>
              <c:pt idx="27">
                <c:v>43903</c:v>
              </c:pt>
              <c:pt idx="28">
                <c:v>43910</c:v>
              </c:pt>
              <c:pt idx="29">
                <c:v>43917</c:v>
              </c:pt>
              <c:pt idx="30">
                <c:v>43924</c:v>
              </c:pt>
              <c:pt idx="31">
                <c:v>43931</c:v>
              </c:pt>
              <c:pt idx="32">
                <c:v>43938</c:v>
              </c:pt>
              <c:pt idx="33">
                <c:v>43945</c:v>
              </c:pt>
              <c:pt idx="34">
                <c:v>43952</c:v>
              </c:pt>
              <c:pt idx="35">
                <c:v>43959</c:v>
              </c:pt>
              <c:pt idx="36">
                <c:v>43966</c:v>
              </c:pt>
              <c:pt idx="37">
                <c:v>43973</c:v>
              </c:pt>
              <c:pt idx="38">
                <c:v>43980</c:v>
              </c:pt>
              <c:pt idx="39">
                <c:v>43987</c:v>
              </c:pt>
              <c:pt idx="40">
                <c:v>43994</c:v>
              </c:pt>
              <c:pt idx="41">
                <c:v>44001</c:v>
              </c:pt>
              <c:pt idx="42">
                <c:v>44008</c:v>
              </c:pt>
              <c:pt idx="43">
                <c:v>44015</c:v>
              </c:pt>
              <c:pt idx="44">
                <c:v>44022</c:v>
              </c:pt>
              <c:pt idx="45">
                <c:v>44029</c:v>
              </c:pt>
              <c:pt idx="46">
                <c:v>44036</c:v>
              </c:pt>
              <c:pt idx="47">
                <c:v>44043</c:v>
              </c:pt>
              <c:pt idx="48">
                <c:v>44050</c:v>
              </c:pt>
              <c:pt idx="49">
                <c:v>44057</c:v>
              </c:pt>
              <c:pt idx="50">
                <c:v>44064</c:v>
              </c:pt>
              <c:pt idx="51">
                <c:v>44071</c:v>
              </c:pt>
              <c:pt idx="52">
                <c:v>44078</c:v>
              </c:pt>
              <c:pt idx="53">
                <c:v>44085</c:v>
              </c:pt>
              <c:pt idx="54">
                <c:v>44092</c:v>
              </c:pt>
              <c:pt idx="55">
                <c:v>44099</c:v>
              </c:pt>
              <c:pt idx="56">
                <c:v>44106</c:v>
              </c:pt>
              <c:pt idx="57">
                <c:v>44113</c:v>
              </c:pt>
              <c:pt idx="58">
                <c:v>44120</c:v>
              </c:pt>
              <c:pt idx="59">
                <c:v>44127</c:v>
              </c:pt>
              <c:pt idx="60">
                <c:v>44134</c:v>
              </c:pt>
              <c:pt idx="61">
                <c:v>44141</c:v>
              </c:pt>
              <c:pt idx="62">
                <c:v>44148</c:v>
              </c:pt>
              <c:pt idx="63">
                <c:v>44155</c:v>
              </c:pt>
              <c:pt idx="64">
                <c:v>44162</c:v>
              </c:pt>
              <c:pt idx="65">
                <c:v>44169</c:v>
              </c:pt>
              <c:pt idx="66">
                <c:v>44176</c:v>
              </c:pt>
              <c:pt idx="67">
                <c:v>44183</c:v>
              </c:pt>
              <c:pt idx="68">
                <c:v>44190</c:v>
              </c:pt>
              <c:pt idx="69">
                <c:v>44197</c:v>
              </c:pt>
              <c:pt idx="70">
                <c:v>44204</c:v>
              </c:pt>
              <c:pt idx="71">
                <c:v>44211</c:v>
              </c:pt>
              <c:pt idx="72">
                <c:v>44218</c:v>
              </c:pt>
              <c:pt idx="73">
                <c:v>44225</c:v>
              </c:pt>
              <c:pt idx="74">
                <c:v>44232</c:v>
              </c:pt>
              <c:pt idx="75">
                <c:v>44239</c:v>
              </c:pt>
              <c:pt idx="76">
                <c:v>44246</c:v>
              </c:pt>
              <c:pt idx="77">
                <c:v>44253</c:v>
              </c:pt>
              <c:pt idx="78">
                <c:v>44260</c:v>
              </c:pt>
              <c:pt idx="79">
                <c:v>44267</c:v>
              </c:pt>
              <c:pt idx="80">
                <c:v>44274</c:v>
              </c:pt>
              <c:pt idx="81">
                <c:v>44281</c:v>
              </c:pt>
              <c:pt idx="82">
                <c:v>44288</c:v>
              </c:pt>
              <c:pt idx="83">
                <c:v>44295</c:v>
              </c:pt>
              <c:pt idx="84">
                <c:v>44302</c:v>
              </c:pt>
              <c:pt idx="85">
                <c:v>44309</c:v>
              </c:pt>
              <c:pt idx="86">
                <c:v>44316</c:v>
              </c:pt>
              <c:pt idx="87">
                <c:v>44323</c:v>
              </c:pt>
              <c:pt idx="88">
                <c:v>44330</c:v>
              </c:pt>
              <c:pt idx="89">
                <c:v>44337</c:v>
              </c:pt>
              <c:pt idx="90">
                <c:v>44344</c:v>
              </c:pt>
              <c:pt idx="91">
                <c:v>44351</c:v>
              </c:pt>
              <c:pt idx="92">
                <c:v>44358</c:v>
              </c:pt>
              <c:pt idx="93">
                <c:v>44365</c:v>
              </c:pt>
              <c:pt idx="94">
                <c:v>44372</c:v>
              </c:pt>
              <c:pt idx="95">
                <c:v>44379</c:v>
              </c:pt>
              <c:pt idx="96">
                <c:v>44386</c:v>
              </c:pt>
              <c:pt idx="97">
                <c:v>44393</c:v>
              </c:pt>
              <c:pt idx="98">
                <c:v>44400</c:v>
              </c:pt>
              <c:pt idx="99">
                <c:v>44407</c:v>
              </c:pt>
              <c:pt idx="100">
                <c:v>44414</c:v>
              </c:pt>
              <c:pt idx="101">
                <c:v>44421</c:v>
              </c:pt>
              <c:pt idx="102">
                <c:v>44428</c:v>
              </c:pt>
              <c:pt idx="103">
                <c:v>44435</c:v>
              </c:pt>
              <c:pt idx="104">
                <c:v>44442</c:v>
              </c:pt>
              <c:pt idx="105">
                <c:v>44449</c:v>
              </c:pt>
              <c:pt idx="106">
                <c:v>44456</c:v>
              </c:pt>
              <c:pt idx="107">
                <c:v>44463</c:v>
              </c:pt>
              <c:pt idx="108">
                <c:v>44470</c:v>
              </c:pt>
            </c:numLit>
          </c:cat>
          <c:val>
            <c:numRef>
              <c:f>'Weekly Throughput'!$O$5:$O$113</c:f>
              <c:numCache>
                <c:formatCode>m/d/yyyy</c:formatCode>
                <c:ptCount val="109"/>
                <c:pt idx="9">
                  <c:v>43777</c:v>
                </c:pt>
                <c:pt idx="34">
                  <c:v>43952</c:v>
                </c:pt>
                <c:pt idx="45">
                  <c:v>44029</c:v>
                </c:pt>
                <c:pt idx="71">
                  <c:v>44211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B0-40FF-AAD4-1E6550DF759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1088256"/>
        <c:axId val="181089792"/>
      </c:barChart>
      <c:lineChart>
        <c:grouping val="standard"/>
        <c:varyColors val="0"/>
        <c:ser>
          <c:idx val="3"/>
          <c:order val="0"/>
          <c:tx>
            <c:strRef>
              <c:f>'Weekly Throughput'!$D$4</c:f>
              <c:strCache>
                <c:ptCount val="1"/>
                <c:pt idx="0">
                  <c:v>Accumulated Scope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delete val="1"/>
          </c:dLbls>
          <c:cat>
            <c:multiLvlStrRef>
              <c:f>#REF!</c:f>
            </c:multiLvlStrRef>
          </c:cat>
          <c:val>
            <c:numRef>
              <c:f>'Weekly Throughput'!$D$5:$D$113</c:f>
              <c:numCache>
                <c:formatCode>General</c:formatCode>
                <c:ptCount val="109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FB0-40FF-AAD4-1E6550DF7598}"/>
            </c:ext>
          </c:extLst>
        </c:ser>
        <c:ser>
          <c:idx val="5"/>
          <c:order val="1"/>
          <c:tx>
            <c:strRef>
              <c:f>'Weekly Throughput'!$E$4</c:f>
              <c:strCache>
                <c:ptCount val="1"/>
                <c:pt idx="0">
                  <c:v>Projected Scope</c:v>
                </c:pt>
              </c:strCache>
            </c:strRef>
          </c:tx>
          <c:spPr>
            <a:ln w="50800">
              <a:solidFill>
                <a:srgbClr val="7030A0"/>
              </a:solidFill>
              <a:prstDash val="dash"/>
              <a:tailEnd w="lg" len="lg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0-4638-40F5-B56D-34D4339210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1-4638-40F5-B56D-34D4339210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2-4638-40F5-B56D-34D4339210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3-4638-40F5-B56D-34D4339210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4-4638-40F5-B56D-34D4339210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5-4638-40F5-B56D-34D4339210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6-4638-40F5-B56D-34D4339210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7-4638-40F5-B56D-34D4339210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8-4638-40F5-B56D-34D4339210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5F0123-C600-4A6A-8E59-AA75E3F821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38-40F5-B56D-34D4339210D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20C840A-0074-4ACE-A049-A8CF915018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38-40F5-B56D-34D4339210D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4A22161-97D4-4BB9-8AC7-859944BA09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38-40F5-B56D-34D4339210D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F984940-DE6F-49BC-8B45-38DA45A39F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38-40F5-B56D-34D4339210D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56700C0-62A2-43AE-B83C-12E4D88207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38-40F5-B56D-34D4339210D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436083C-1BEA-4829-9321-6E3DAEFC09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38-40F5-B56D-34D4339210D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671F71F-E728-48D3-AE70-D3C694421C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38-40F5-B56D-34D4339210D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5E67D65-84D0-49A7-A6E5-B3FD0A7224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38-40F5-B56D-34D4339210D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F4E5DE7-3A9B-43DE-B023-E5535B9A69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38-40F5-B56D-34D4339210D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8B49FC8-4FDB-4C41-AAFC-1B46E9E820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38-40F5-B56D-34D4339210D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91CCCFD-1170-4973-81E1-3219448E27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38-40F5-B56D-34D4339210D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5ABC44-85EF-4587-AFBE-77FDBB353C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38-40F5-B56D-34D4339210D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E808B50-C2CE-4669-87B5-3929AC0955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38-40F5-B56D-34D4339210D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438B8CD-4008-42E4-89E1-F7AB5111BC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38-40F5-B56D-34D4339210D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6FB2DC3-3BFA-4492-B7D0-AE2BFE9F7E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38-40F5-B56D-34D4339210D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D89E059-0EC6-4C94-BB5A-BA5563D35A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38-40F5-B56D-34D4339210D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07808BD-1432-407D-A46C-A9C30BCB14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38-40F5-B56D-34D4339210D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5AA8EEC-ACB4-4D77-9806-1CB9AFD1FC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38-40F5-B56D-34D4339210D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F1CECF5-145B-43A7-AAB3-6B7983531B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38-40F5-B56D-34D4339210D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0A564FA-F30D-4E86-8B54-A62FBC4C80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38-40F5-B56D-34D4339210D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4E6A790-443E-488D-AA32-561E44D701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38-40F5-B56D-34D4339210D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DBB40FA-3A36-47BC-9E73-02783EBD6E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38-40F5-B56D-34D4339210D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CA10429-1847-4A6C-96A8-C8E3D78A91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38-40F5-B56D-34D4339210D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57056C5-61ED-479E-B482-3DB63C45B1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38-40F5-B56D-34D4339210D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B120CCA-AE00-499E-B32B-22D7473804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38-40F5-B56D-34D4339210D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E764A60-665F-40CA-8BA1-E940050D23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38-40F5-B56D-34D4339210D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FECC34E-4151-4771-A5B5-77CA49081E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38-40F5-B56D-34D4339210D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35870C6-6C40-45BE-A3FE-D9367D0AEF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38-40F5-B56D-34D4339210D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A67250D-C564-4A85-89F2-17CDA1CA0A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38-40F5-B56D-34D4339210D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18720AE-287E-4A3D-8AA9-7F8E7AD8EE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38-40F5-B56D-34D4339210D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69D3FD-6B14-479D-99B9-27C7E74909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38-40F5-B56D-34D4339210D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BCF0581-49E6-4DE1-90C2-55AECCD50E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38-40F5-B56D-34D4339210D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916082B-FFCD-43A0-9DA6-7A923AB415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38-40F5-B56D-34D4339210D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970D60F-97D7-4584-AE1A-23428E6EF6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38-40F5-B56D-34D4339210D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BEFB2A1-1928-49CF-9E08-D5DB93690F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38-40F5-B56D-34D4339210D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403DACF-89E9-450D-8275-ECB9A94EDB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38-40F5-B56D-34D4339210D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FEFC25A-4477-4BCE-B935-3E8D7CE18D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38-40F5-B56D-34D4339210D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7D08273-7D92-447C-92B9-E382537EE4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38-40F5-B56D-34D4339210D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F0D8093-EBB5-4D96-BFCD-B4BF79216F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38-40F5-B56D-34D4339210D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5E250E5-9CB3-4475-B88E-CE79FB804B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38-40F5-B56D-34D4339210D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E40CF44-AD30-419C-9B84-FF6819C46E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38-40F5-B56D-34D4339210D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391C855-2D10-4319-9C9C-9E775326E6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38-40F5-B56D-34D4339210D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DB6A5E7-23CE-4D8A-97EE-BAEB5D5A66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38-40F5-B56D-34D4339210D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8668E39-37E7-4CCD-B511-FF53E47277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38-40F5-B56D-34D4339210D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F8B18E7-6399-4B7E-955B-F75185A7BE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38-40F5-B56D-34D4339210D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C5CB0F2-18FD-4470-8352-D26B2E126D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38-40F5-B56D-34D4339210D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A5C7215-6FB8-415C-B684-97897DBFBA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38-40F5-B56D-34D4339210D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84AD780-3941-43DF-B0C9-6B90A2EDAA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38-40F5-B56D-34D4339210D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FFFA46C-0A0D-4B27-AC72-C0EDD5D50F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38-40F5-B56D-34D4339210D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EAFC5AA-476A-463C-9BDE-6377AE6DD8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38-40F5-B56D-34D4339210D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EAEF228-21DE-4D7A-B6E2-E32D0068FB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38-40F5-B56D-34D4339210D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FCDAAAF-8762-4C01-99D4-2D6BACECFF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38-40F5-B56D-34D4339210D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B8DABE4-17E7-4F27-BE4A-2E77B163E0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38-40F5-B56D-34D4339210D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C4CC63B-46D6-437A-80F0-78C8437B00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38-40F5-B56D-34D4339210D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0E786CD-2A1F-4F1B-95A1-49A1A2FAA7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38-40F5-B56D-34D4339210D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6A16D0F-B742-4804-865F-9257A42C77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38-40F5-B56D-34D4339210D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CD73F95-BAAD-4A2E-B9BF-D9D89C0179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38-40F5-B56D-34D4339210D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1C84BD1-8803-48FA-93FE-808B33D6F9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38-40F5-B56D-34D4339210D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901B5CD-CF4E-42EC-866C-6B0FFEA492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38-40F5-B56D-34D4339210D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31D6561-8E1E-4331-B449-3435DDF3D0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38-40F5-B56D-34D4339210D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B74714A-87C3-4C21-893F-53EB8333D2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38-40F5-B56D-34D4339210D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3D70EEE-9184-470D-B07D-A139CCA2FC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38-40F5-B56D-34D4339210D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5345A62-D20F-4AE2-8641-255C97C3B3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38-40F5-B56D-34D4339210D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60D6211-AB68-487E-9FB3-25B3ECDE18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38-40F5-B56D-34D4339210D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A091C68-FD88-4062-8690-C81E9F6D97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38-40F5-B56D-34D4339210D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470EE31-95B3-4D53-92B3-4A40C33A7C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38-40F5-B56D-34D4339210D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980A17C-8D71-4A67-B76F-9930BF8065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38-40F5-B56D-34D4339210D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67513FC-A1FB-4FED-8F2D-F9E8C4826A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38-40F5-B56D-34D4339210D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94D5365-0C71-4404-9909-009B659805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38-40F5-B56D-34D4339210D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4B0BA9F-F134-4D1D-B155-1677D86750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38-40F5-B56D-34D4339210D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C844C00-34FB-4E2B-AD4B-340660BAC8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38-40F5-B56D-34D4339210D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5A5D466-791E-4FB7-8A80-4D16CBE8B6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38-40F5-B56D-34D4339210D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B992F75-C574-4206-B185-D4B76817D6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38-40F5-B56D-34D4339210D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216D25C-551E-4009-B307-8E8DC1A1D3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38-40F5-B56D-34D4339210D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29C26C0-AA60-4A0B-8736-BDF9676EF6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38-40F5-B56D-34D4339210D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C56D895-B31C-4C6A-B109-BBF0D8A89A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38-40F5-B56D-34D4339210D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AAE89E0-6900-47DC-8434-0417203D80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38-40F5-B56D-34D4339210D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4257EA5-12D8-4913-9865-0762B93469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38-40F5-B56D-34D4339210D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75C5B14-0E8D-49C5-A40E-3DC9081841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38-40F5-B56D-34D4339210D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A567BC9-B1FD-453E-AF5D-197F3315E1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38-40F5-B56D-34D4339210D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C188768-321F-4DFE-922B-EB8234BCF0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38-40F5-B56D-34D4339210D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A4D552F-7AD9-4177-9DA5-D9B485F1A4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38-40F5-B56D-34D4339210D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27C31AA-8BEB-4752-B9BF-84B33205B4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38-40F5-B56D-34D4339210D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175814E-E330-4729-804A-E077588098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38-40F5-B56D-34D4339210D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9B4F2F5-9F6F-46A8-B207-3F6FDFA702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38-40F5-B56D-34D4339210D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A6C44BF-AC5C-4812-92CC-BA3294FE1F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38-40F5-B56D-34D4339210D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F722B69-2E1D-4A5C-A91A-3730FC67E6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38-40F5-B56D-34D4339210D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8BB99E1-6C3C-49EE-B860-C1116EA878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38-40F5-B56D-34D4339210D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DA33705-A14C-4930-86EF-3496CD9ED4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38-40F5-B56D-34D4339210D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6AD03BB-C7B9-4C9A-873C-4E40B4C4BB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38-40F5-B56D-34D4339210D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4F04BBE-33FE-41DE-9778-B1DD48730C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38-40F5-B56D-34D4339210D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75426F3-1C91-413C-91D8-A440D6BCB6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38-40F5-B56D-34D4339210D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DB4274A-34BE-43D0-BFAA-82A44D6E3B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38-40F5-B56D-34D4339210D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2AD0DA6-7E11-430A-93D4-C4CA338DE2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38-40F5-B56D-34D4339210D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16895D1-3C63-4462-9704-76CC76075B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38-40F5-B56D-34D4339210D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CC10701-DBCC-4802-9B17-E26E17FF60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38-40F5-B56D-34D4339210D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168CB79-47BF-4469-9A91-EC681FD3F2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38-40F5-B56D-34D4339210D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0DD069E-CEB0-4EC2-A9E6-0D23445751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38-40F5-B56D-34D4339210D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8B8E3CE-31AB-4649-91F2-7EC07CA78F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38-40F5-B56D-34D4339210D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08BB692-BC2A-4628-97A1-94CCBA9162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38-40F5-B56D-34D4339210D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5F-4BFF-BE36-BBE85307F122}"/>
                </c:ext>
              </c:extLst>
            </c:dLbl>
            <c:spPr>
              <a:solidFill>
                <a:srgbClr val="FFFF00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multiLvlStrRef>
              <c:f>#REF!</c:f>
            </c:multiLvlStrRef>
          </c:cat>
          <c:val>
            <c:numRef>
              <c:f>'Weekly Throughput'!$E$5:$E$114</c:f>
              <c:numCache>
                <c:formatCode>General</c:formatCode>
                <c:ptCount val="110"/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'Weekly Throughput'!$O$5:$O$113</c15:f>
                <c15:dlblRangeCache>
                  <c:ptCount val="109"/>
                  <c:pt idx="9">
                    <c:v>11/8/2019</c:v>
                  </c:pt>
                  <c:pt idx="34">
                    <c:v>5/1/2020</c:v>
                  </c:pt>
                  <c:pt idx="45">
                    <c:v>7/17/2020</c:v>
                  </c:pt>
                  <c:pt idx="71">
                    <c:v>1/15/2021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1FB0-40FF-AAD4-1E6550DF7598}"/>
            </c:ext>
          </c:extLst>
        </c:ser>
        <c:ser>
          <c:idx val="1"/>
          <c:order val="2"/>
          <c:tx>
            <c:strRef>
              <c:f>'Weekly Throughput'!$J$4</c:f>
              <c:strCache>
                <c:ptCount val="1"/>
                <c:pt idx="0">
                  <c:v>Accumulated Throuhput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#REF!</c:f>
            </c:multiLvlStrRef>
          </c:cat>
          <c:val>
            <c:numRef>
              <c:f>'Weekly Throughput'!$J$5:$J$14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FB0-40FF-AAD4-1E6550DF7598}"/>
            </c:ext>
          </c:extLst>
        </c:ser>
        <c:ser>
          <c:idx val="4"/>
          <c:order val="4"/>
          <c:tx>
            <c:strRef>
              <c:f>'Weekly Throughput'!$M$4</c:f>
              <c:strCache>
                <c:ptCount val="1"/>
                <c:pt idx="0">
                  <c:v>Pessimistic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Throughput'!$M$5:$M$113</c:f>
              <c:numCache>
                <c:formatCode>0.00</c:formatCode>
                <c:ptCount val="109"/>
                <c:pt idx="9">
                  <c:v>10</c:v>
                </c:pt>
                <c:pt idx="10">
                  <c:v>11.143651161422325</c:v>
                </c:pt>
                <c:pt idx="11">
                  <c:v>12.287302322844649</c:v>
                </c:pt>
                <c:pt idx="12">
                  <c:v>13.430953484266974</c:v>
                </c:pt>
                <c:pt idx="13">
                  <c:v>14.574604645689298</c:v>
                </c:pt>
                <c:pt idx="14">
                  <c:v>15.718255807111623</c:v>
                </c:pt>
                <c:pt idx="15">
                  <c:v>16.861906968533951</c:v>
                </c:pt>
                <c:pt idx="16">
                  <c:v>18.005558129956277</c:v>
                </c:pt>
                <c:pt idx="17">
                  <c:v>19.149209291378604</c:v>
                </c:pt>
                <c:pt idx="18">
                  <c:v>20.29286045280093</c:v>
                </c:pt>
                <c:pt idx="19">
                  <c:v>21.436511614223257</c:v>
                </c:pt>
                <c:pt idx="20">
                  <c:v>22.580162775645583</c:v>
                </c:pt>
                <c:pt idx="21">
                  <c:v>23.723813937067909</c:v>
                </c:pt>
                <c:pt idx="22">
                  <c:v>24.867465098490236</c:v>
                </c:pt>
                <c:pt idx="23">
                  <c:v>26.011116259912562</c:v>
                </c:pt>
                <c:pt idx="24">
                  <c:v>27.154767421334888</c:v>
                </c:pt>
                <c:pt idx="25">
                  <c:v>28.298418582757215</c:v>
                </c:pt>
                <c:pt idx="26">
                  <c:v>29.442069744179541</c:v>
                </c:pt>
                <c:pt idx="27">
                  <c:v>30.585720905601868</c:v>
                </c:pt>
                <c:pt idx="28">
                  <c:v>31.729372067024194</c:v>
                </c:pt>
                <c:pt idx="29">
                  <c:v>32.87302322844652</c:v>
                </c:pt>
                <c:pt idx="30">
                  <c:v>34.016674389868847</c:v>
                </c:pt>
                <c:pt idx="31">
                  <c:v>35.160325551291173</c:v>
                </c:pt>
                <c:pt idx="32">
                  <c:v>36.303976712713499</c:v>
                </c:pt>
                <c:pt idx="33">
                  <c:v>37.447627874135826</c:v>
                </c:pt>
                <c:pt idx="34">
                  <c:v>38.591279035558152</c:v>
                </c:pt>
                <c:pt idx="35">
                  <c:v>39.734930196980478</c:v>
                </c:pt>
                <c:pt idx="36">
                  <c:v>40.878581358402805</c:v>
                </c:pt>
                <c:pt idx="37">
                  <c:v>42.022232519825131</c:v>
                </c:pt>
                <c:pt idx="38">
                  <c:v>43.165883681247458</c:v>
                </c:pt>
                <c:pt idx="39">
                  <c:v>44.309534842669784</c:v>
                </c:pt>
                <c:pt idx="40">
                  <c:v>45.45318600409211</c:v>
                </c:pt>
                <c:pt idx="41">
                  <c:v>46.596837165514437</c:v>
                </c:pt>
                <c:pt idx="42">
                  <c:v>47.740488326936763</c:v>
                </c:pt>
                <c:pt idx="43">
                  <c:v>48.884139488359089</c:v>
                </c:pt>
                <c:pt idx="44">
                  <c:v>50.027790649781416</c:v>
                </c:pt>
                <c:pt idx="45">
                  <c:v>51.171441811203742</c:v>
                </c:pt>
                <c:pt idx="46">
                  <c:v>52.315092972626069</c:v>
                </c:pt>
                <c:pt idx="47">
                  <c:v>53.458744134048395</c:v>
                </c:pt>
                <c:pt idx="48">
                  <c:v>54.602395295470721</c:v>
                </c:pt>
                <c:pt idx="49">
                  <c:v>55.746046456893048</c:v>
                </c:pt>
                <c:pt idx="50">
                  <c:v>56.889697618315374</c:v>
                </c:pt>
                <c:pt idx="51">
                  <c:v>58.0333487797377</c:v>
                </c:pt>
                <c:pt idx="52">
                  <c:v>59.176999941160027</c:v>
                </c:pt>
                <c:pt idx="53">
                  <c:v>60.320651102582353</c:v>
                </c:pt>
                <c:pt idx="54">
                  <c:v>61.464302264004679</c:v>
                </c:pt>
                <c:pt idx="55">
                  <c:v>62.607953425427006</c:v>
                </c:pt>
                <c:pt idx="56">
                  <c:v>63.751604586849339</c:v>
                </c:pt>
                <c:pt idx="57">
                  <c:v>64.895255748271666</c:v>
                </c:pt>
                <c:pt idx="58">
                  <c:v>66.038906909693992</c:v>
                </c:pt>
                <c:pt idx="59">
                  <c:v>67.182558071116318</c:v>
                </c:pt>
                <c:pt idx="60">
                  <c:v>68.326209232538645</c:v>
                </c:pt>
                <c:pt idx="61">
                  <c:v>69.469860393960971</c:v>
                </c:pt>
                <c:pt idx="62">
                  <c:v>70.613511555383297</c:v>
                </c:pt>
                <c:pt idx="63">
                  <c:v>71.757162716805624</c:v>
                </c:pt>
                <c:pt idx="64">
                  <c:v>72.90081387822795</c:v>
                </c:pt>
                <c:pt idx="65">
                  <c:v>74.044465039650277</c:v>
                </c:pt>
                <c:pt idx="66">
                  <c:v>75.188116201072603</c:v>
                </c:pt>
                <c:pt idx="67">
                  <c:v>76.331767362494929</c:v>
                </c:pt>
                <c:pt idx="68">
                  <c:v>77.475418523917256</c:v>
                </c:pt>
                <c:pt idx="69">
                  <c:v>78.619069685339582</c:v>
                </c:pt>
                <c:pt idx="70">
                  <c:v>79.762720846761908</c:v>
                </c:pt>
                <c:pt idx="71">
                  <c:v>80.906372008184235</c:v>
                </c:pt>
                <c:pt idx="72">
                  <c:v>82.050023169606561</c:v>
                </c:pt>
                <c:pt idx="73">
                  <c:v>83.193674331028888</c:v>
                </c:pt>
                <c:pt idx="74">
                  <c:v>84.337325492451214</c:v>
                </c:pt>
                <c:pt idx="75">
                  <c:v>85.48097665387354</c:v>
                </c:pt>
                <c:pt idx="76">
                  <c:v>86.624627815295867</c:v>
                </c:pt>
                <c:pt idx="77">
                  <c:v>87.768278976718193</c:v>
                </c:pt>
                <c:pt idx="78">
                  <c:v>88.911930138140519</c:v>
                </c:pt>
                <c:pt idx="79">
                  <c:v>90.055581299562846</c:v>
                </c:pt>
                <c:pt idx="80">
                  <c:v>91.199232460985172</c:v>
                </c:pt>
                <c:pt idx="81">
                  <c:v>92.342883622407498</c:v>
                </c:pt>
                <c:pt idx="82">
                  <c:v>93.486534783829825</c:v>
                </c:pt>
                <c:pt idx="83">
                  <c:v>94.630185945252151</c:v>
                </c:pt>
                <c:pt idx="84">
                  <c:v>95.773837106674478</c:v>
                </c:pt>
                <c:pt idx="85">
                  <c:v>96.917488268096804</c:v>
                </c:pt>
                <c:pt idx="86">
                  <c:v>98.06113942951913</c:v>
                </c:pt>
                <c:pt idx="87">
                  <c:v>99.204790590941457</c:v>
                </c:pt>
                <c:pt idx="88">
                  <c:v>100.34844175236378</c:v>
                </c:pt>
                <c:pt idx="89">
                  <c:v>101.49209291378611</c:v>
                </c:pt>
                <c:pt idx="90">
                  <c:v>102.63574407520844</c:v>
                </c:pt>
                <c:pt idx="91">
                  <c:v>103.77939523663076</c:v>
                </c:pt>
                <c:pt idx="92">
                  <c:v>104.92304639805309</c:v>
                </c:pt>
                <c:pt idx="93">
                  <c:v>106.06669755947541</c:v>
                </c:pt>
                <c:pt idx="94">
                  <c:v>107.21034872089774</c:v>
                </c:pt>
                <c:pt idx="95">
                  <c:v>108.35399988232007</c:v>
                </c:pt>
                <c:pt idx="96">
                  <c:v>109.49765104374239</c:v>
                </c:pt>
                <c:pt idx="97">
                  <c:v>110.64130220516472</c:v>
                </c:pt>
                <c:pt idx="98">
                  <c:v>111.78495336658705</c:v>
                </c:pt>
                <c:pt idx="99">
                  <c:v>112.92860452800937</c:v>
                </c:pt>
                <c:pt idx="100">
                  <c:v>114.0722556894317</c:v>
                </c:pt>
                <c:pt idx="101">
                  <c:v>115.21590685085403</c:v>
                </c:pt>
                <c:pt idx="102">
                  <c:v>116.35955801227635</c:v>
                </c:pt>
                <c:pt idx="103">
                  <c:v>117.50320917369868</c:v>
                </c:pt>
                <c:pt idx="104">
                  <c:v>118.646860335121</c:v>
                </c:pt>
                <c:pt idx="105">
                  <c:v>119.79051149654333</c:v>
                </c:pt>
                <c:pt idx="106">
                  <c:v>120.93416265796566</c:v>
                </c:pt>
                <c:pt idx="107">
                  <c:v>122.07781381938798</c:v>
                </c:pt>
                <c:pt idx="108">
                  <c:v>123.22146498081031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FB0-40FF-AAD4-1E6550DF7598}"/>
            </c:ext>
          </c:extLst>
        </c:ser>
        <c:ser>
          <c:idx val="6"/>
          <c:order val="5"/>
          <c:tx>
            <c:strRef>
              <c:f>'Weekly Throughput'!$F$4</c:f>
              <c:strCache>
                <c:ptCount val="1"/>
                <c:pt idx="0">
                  <c:v>Target Week Migration Completion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Throughput'!$F$5:$F$113</c:f>
              <c:numCache>
                <c:formatCode>m/d/yyyy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FB0-40FF-AAD4-1E6550DF7598}"/>
            </c:ext>
          </c:extLst>
        </c:ser>
        <c:ser>
          <c:idx val="7"/>
          <c:order val="6"/>
          <c:tx>
            <c:strRef>
              <c:f>'Weekly Throughput'!$L$4</c:f>
              <c:strCache>
                <c:ptCount val="1"/>
                <c:pt idx="0">
                  <c:v>Optimistic</c:v>
                </c:pt>
              </c:strCache>
            </c:strRef>
          </c:tx>
          <c:spPr>
            <a:ln>
              <a:solidFill>
                <a:srgbClr val="0070C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Throughput'!$L$5:$L$113</c:f>
              <c:numCache>
                <c:formatCode>0.00</c:formatCode>
                <c:ptCount val="109"/>
                <c:pt idx="9">
                  <c:v>10</c:v>
                </c:pt>
                <c:pt idx="10">
                  <c:v>12.856348838577675</c:v>
                </c:pt>
                <c:pt idx="11">
                  <c:v>15.712697677155351</c:v>
                </c:pt>
                <c:pt idx="12">
                  <c:v>18.569046515733024</c:v>
                </c:pt>
                <c:pt idx="13">
                  <c:v>21.425395354310698</c:v>
                </c:pt>
                <c:pt idx="14">
                  <c:v>24.281744192888372</c:v>
                </c:pt>
                <c:pt idx="15">
                  <c:v>27.138093031466045</c:v>
                </c:pt>
                <c:pt idx="16">
                  <c:v>29.994441870043719</c:v>
                </c:pt>
                <c:pt idx="17">
                  <c:v>32.850790708621396</c:v>
                </c:pt>
                <c:pt idx="18">
                  <c:v>35.70713954719907</c:v>
                </c:pt>
                <c:pt idx="19">
                  <c:v>38.563488385776743</c:v>
                </c:pt>
                <c:pt idx="20">
                  <c:v>41.419837224354417</c:v>
                </c:pt>
                <c:pt idx="21">
                  <c:v>44.276186062932091</c:v>
                </c:pt>
                <c:pt idx="22">
                  <c:v>47.132534901509764</c:v>
                </c:pt>
                <c:pt idx="23">
                  <c:v>49.988883740087438</c:v>
                </c:pt>
                <c:pt idx="24">
                  <c:v>52.845232578665112</c:v>
                </c:pt>
                <c:pt idx="25">
                  <c:v>55.701581417242785</c:v>
                </c:pt>
                <c:pt idx="26">
                  <c:v>58.557930255820459</c:v>
                </c:pt>
                <c:pt idx="27">
                  <c:v>61.414279094398132</c:v>
                </c:pt>
                <c:pt idx="28">
                  <c:v>64.270627932975813</c:v>
                </c:pt>
                <c:pt idx="29">
                  <c:v>67.126976771553487</c:v>
                </c:pt>
                <c:pt idx="30">
                  <c:v>69.98332561013116</c:v>
                </c:pt>
                <c:pt idx="31">
                  <c:v>72.839674448708834</c:v>
                </c:pt>
                <c:pt idx="32">
                  <c:v>75.696023287286508</c:v>
                </c:pt>
                <c:pt idx="33">
                  <c:v>78.552372125864181</c:v>
                </c:pt>
                <c:pt idx="34">
                  <c:v>81.408720964441855</c:v>
                </c:pt>
                <c:pt idx="35">
                  <c:v>84.265069803019529</c:v>
                </c:pt>
                <c:pt idx="36">
                  <c:v>87.121418641597202</c:v>
                </c:pt>
                <c:pt idx="37">
                  <c:v>89.977767480174876</c:v>
                </c:pt>
                <c:pt idx="38">
                  <c:v>92.83411631875255</c:v>
                </c:pt>
                <c:pt idx="39">
                  <c:v>95.690465157330223</c:v>
                </c:pt>
                <c:pt idx="40">
                  <c:v>98.546813995907897</c:v>
                </c:pt>
                <c:pt idx="41">
                  <c:v>101.40316283448557</c:v>
                </c:pt>
                <c:pt idx="42">
                  <c:v>104.25951167306324</c:v>
                </c:pt>
                <c:pt idx="43">
                  <c:v>107.11586051164092</c:v>
                </c:pt>
                <c:pt idx="44">
                  <c:v>109.97220935021859</c:v>
                </c:pt>
                <c:pt idx="45">
                  <c:v>112.82855818879626</c:v>
                </c:pt>
                <c:pt idx="46">
                  <c:v>115.68490702737394</c:v>
                </c:pt>
                <c:pt idx="47">
                  <c:v>118.54125586595161</c:v>
                </c:pt>
                <c:pt idx="48">
                  <c:v>121.39760470452929</c:v>
                </c:pt>
                <c:pt idx="49">
                  <c:v>124.25395354310696</c:v>
                </c:pt>
                <c:pt idx="50">
                  <c:v>127.11030238168463</c:v>
                </c:pt>
                <c:pt idx="51">
                  <c:v>129.96665122026229</c:v>
                </c:pt>
                <c:pt idx="52">
                  <c:v>132.82300005883997</c:v>
                </c:pt>
                <c:pt idx="53">
                  <c:v>135.67934889741764</c:v>
                </c:pt>
                <c:pt idx="54">
                  <c:v>138.53569773599531</c:v>
                </c:pt>
                <c:pt idx="55">
                  <c:v>141.39204657457299</c:v>
                </c:pt>
                <c:pt idx="56">
                  <c:v>144.24839541315066</c:v>
                </c:pt>
                <c:pt idx="57">
                  <c:v>147.10474425172833</c:v>
                </c:pt>
                <c:pt idx="58">
                  <c:v>149.96109309030601</c:v>
                </c:pt>
                <c:pt idx="59">
                  <c:v>152.81744192888368</c:v>
                </c:pt>
                <c:pt idx="60">
                  <c:v>155.67379076746136</c:v>
                </c:pt>
                <c:pt idx="61">
                  <c:v>158.53013960603903</c:v>
                </c:pt>
                <c:pt idx="62">
                  <c:v>161.3864884446167</c:v>
                </c:pt>
                <c:pt idx="63">
                  <c:v>164.24283728319438</c:v>
                </c:pt>
                <c:pt idx="64">
                  <c:v>167.09918612177205</c:v>
                </c:pt>
                <c:pt idx="65">
                  <c:v>169.95553496034972</c:v>
                </c:pt>
                <c:pt idx="66">
                  <c:v>172.8118837989274</c:v>
                </c:pt>
                <c:pt idx="67">
                  <c:v>175.66823263750507</c:v>
                </c:pt>
                <c:pt idx="68">
                  <c:v>178.52458147608274</c:v>
                </c:pt>
                <c:pt idx="69">
                  <c:v>181.38093031466042</c:v>
                </c:pt>
                <c:pt idx="70">
                  <c:v>184.23727915323809</c:v>
                </c:pt>
                <c:pt idx="71">
                  <c:v>187.09362799181577</c:v>
                </c:pt>
                <c:pt idx="72">
                  <c:v>189.94997683039344</c:v>
                </c:pt>
                <c:pt idx="73">
                  <c:v>192.80632566897111</c:v>
                </c:pt>
                <c:pt idx="74">
                  <c:v>195.66267450754879</c:v>
                </c:pt>
                <c:pt idx="75">
                  <c:v>198.51902334612646</c:v>
                </c:pt>
                <c:pt idx="76">
                  <c:v>201.37537218470413</c:v>
                </c:pt>
                <c:pt idx="77">
                  <c:v>204.23172102328181</c:v>
                </c:pt>
                <c:pt idx="78">
                  <c:v>207.08806986185948</c:v>
                </c:pt>
                <c:pt idx="79">
                  <c:v>209.94441870043715</c:v>
                </c:pt>
                <c:pt idx="80">
                  <c:v>212.80076753901483</c:v>
                </c:pt>
                <c:pt idx="81">
                  <c:v>215.6571163775925</c:v>
                </c:pt>
                <c:pt idx="82">
                  <c:v>218.51346521617018</c:v>
                </c:pt>
                <c:pt idx="83">
                  <c:v>221.36981405474785</c:v>
                </c:pt>
                <c:pt idx="84">
                  <c:v>224.22616289332552</c:v>
                </c:pt>
                <c:pt idx="85">
                  <c:v>227.0825117319032</c:v>
                </c:pt>
                <c:pt idx="86">
                  <c:v>229.93886057048087</c:v>
                </c:pt>
                <c:pt idx="87">
                  <c:v>232.79520940905854</c:v>
                </c:pt>
                <c:pt idx="88">
                  <c:v>235.65155824763622</c:v>
                </c:pt>
                <c:pt idx="89">
                  <c:v>238.50790708621389</c:v>
                </c:pt>
                <c:pt idx="90">
                  <c:v>241.36425592479156</c:v>
                </c:pt>
                <c:pt idx="91">
                  <c:v>244.22060476336924</c:v>
                </c:pt>
                <c:pt idx="92">
                  <c:v>247.07695360194691</c:v>
                </c:pt>
                <c:pt idx="93">
                  <c:v>249.93330244052459</c:v>
                </c:pt>
                <c:pt idx="94">
                  <c:v>252.78965127910226</c:v>
                </c:pt>
                <c:pt idx="95">
                  <c:v>255.64600011767993</c:v>
                </c:pt>
                <c:pt idx="96">
                  <c:v>258.50234895625761</c:v>
                </c:pt>
                <c:pt idx="97">
                  <c:v>261.35869779483528</c:v>
                </c:pt>
                <c:pt idx="98">
                  <c:v>264.21504663341295</c:v>
                </c:pt>
                <c:pt idx="99">
                  <c:v>267.07139547199063</c:v>
                </c:pt>
                <c:pt idx="100">
                  <c:v>269.9277443105683</c:v>
                </c:pt>
                <c:pt idx="101">
                  <c:v>272.78409314914597</c:v>
                </c:pt>
                <c:pt idx="102">
                  <c:v>275.64044198772365</c:v>
                </c:pt>
                <c:pt idx="103">
                  <c:v>278.49679082630132</c:v>
                </c:pt>
                <c:pt idx="104">
                  <c:v>281.353139664879</c:v>
                </c:pt>
                <c:pt idx="105">
                  <c:v>284.20948850345667</c:v>
                </c:pt>
                <c:pt idx="106">
                  <c:v>287.06583734203434</c:v>
                </c:pt>
                <c:pt idx="107">
                  <c:v>289.92218618061202</c:v>
                </c:pt>
                <c:pt idx="108">
                  <c:v>292.77853501918969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FB0-40FF-AAD4-1E6550DF7598}"/>
            </c:ext>
          </c:extLst>
        </c:ser>
        <c:ser>
          <c:idx val="2"/>
          <c:order val="7"/>
          <c:tx>
            <c:strRef>
              <c:f>'Weekly Throughput'!$K$4</c:f>
              <c:strCache>
                <c:ptCount val="1"/>
                <c:pt idx="0">
                  <c:v>Projected Throughput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Throughput'!$K$5:$K$113</c:f>
              <c:numCache>
                <c:formatCode>0.00</c:formatCode>
                <c:ptCount val="109"/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22</c:v>
                </c:pt>
                <c:pt idx="16">
                  <c:v>24</c:v>
                </c:pt>
                <c:pt idx="17">
                  <c:v>26</c:v>
                </c:pt>
                <c:pt idx="18">
                  <c:v>28</c:v>
                </c:pt>
                <c:pt idx="19">
                  <c:v>30</c:v>
                </c:pt>
                <c:pt idx="20">
                  <c:v>32</c:v>
                </c:pt>
                <c:pt idx="21">
                  <c:v>34</c:v>
                </c:pt>
                <c:pt idx="22">
                  <c:v>36</c:v>
                </c:pt>
                <c:pt idx="23">
                  <c:v>38</c:v>
                </c:pt>
                <c:pt idx="24">
                  <c:v>40</c:v>
                </c:pt>
                <c:pt idx="25">
                  <c:v>42</c:v>
                </c:pt>
                <c:pt idx="26">
                  <c:v>44</c:v>
                </c:pt>
                <c:pt idx="27">
                  <c:v>46</c:v>
                </c:pt>
                <c:pt idx="28">
                  <c:v>48</c:v>
                </c:pt>
                <c:pt idx="29">
                  <c:v>50</c:v>
                </c:pt>
                <c:pt idx="30">
                  <c:v>52</c:v>
                </c:pt>
                <c:pt idx="31">
                  <c:v>54</c:v>
                </c:pt>
                <c:pt idx="32">
                  <c:v>56</c:v>
                </c:pt>
                <c:pt idx="33">
                  <c:v>58</c:v>
                </c:pt>
                <c:pt idx="34">
                  <c:v>60</c:v>
                </c:pt>
                <c:pt idx="35">
                  <c:v>62</c:v>
                </c:pt>
                <c:pt idx="36">
                  <c:v>64</c:v>
                </c:pt>
                <c:pt idx="37">
                  <c:v>66</c:v>
                </c:pt>
                <c:pt idx="38">
                  <c:v>68</c:v>
                </c:pt>
                <c:pt idx="39">
                  <c:v>70</c:v>
                </c:pt>
                <c:pt idx="40">
                  <c:v>72</c:v>
                </c:pt>
                <c:pt idx="41">
                  <c:v>74</c:v>
                </c:pt>
                <c:pt idx="42">
                  <c:v>76</c:v>
                </c:pt>
                <c:pt idx="43">
                  <c:v>78</c:v>
                </c:pt>
                <c:pt idx="44">
                  <c:v>80</c:v>
                </c:pt>
                <c:pt idx="45">
                  <c:v>82</c:v>
                </c:pt>
                <c:pt idx="46">
                  <c:v>84</c:v>
                </c:pt>
                <c:pt idx="47">
                  <c:v>86</c:v>
                </c:pt>
                <c:pt idx="48">
                  <c:v>88</c:v>
                </c:pt>
                <c:pt idx="49">
                  <c:v>90</c:v>
                </c:pt>
                <c:pt idx="50">
                  <c:v>92</c:v>
                </c:pt>
                <c:pt idx="51">
                  <c:v>94</c:v>
                </c:pt>
                <c:pt idx="52">
                  <c:v>96</c:v>
                </c:pt>
                <c:pt idx="53">
                  <c:v>98</c:v>
                </c:pt>
                <c:pt idx="54">
                  <c:v>100</c:v>
                </c:pt>
                <c:pt idx="55">
                  <c:v>102</c:v>
                </c:pt>
                <c:pt idx="56">
                  <c:v>104</c:v>
                </c:pt>
                <c:pt idx="57">
                  <c:v>106</c:v>
                </c:pt>
                <c:pt idx="58">
                  <c:v>108</c:v>
                </c:pt>
                <c:pt idx="59">
                  <c:v>110</c:v>
                </c:pt>
                <c:pt idx="60">
                  <c:v>112</c:v>
                </c:pt>
                <c:pt idx="61">
                  <c:v>114</c:v>
                </c:pt>
                <c:pt idx="62">
                  <c:v>116</c:v>
                </c:pt>
                <c:pt idx="63">
                  <c:v>118</c:v>
                </c:pt>
                <c:pt idx="64">
                  <c:v>120</c:v>
                </c:pt>
                <c:pt idx="65">
                  <c:v>122</c:v>
                </c:pt>
                <c:pt idx="66">
                  <c:v>124</c:v>
                </c:pt>
                <c:pt idx="67">
                  <c:v>126</c:v>
                </c:pt>
                <c:pt idx="68">
                  <c:v>128</c:v>
                </c:pt>
                <c:pt idx="69">
                  <c:v>130</c:v>
                </c:pt>
                <c:pt idx="70">
                  <c:v>132</c:v>
                </c:pt>
                <c:pt idx="71">
                  <c:v>134</c:v>
                </c:pt>
                <c:pt idx="72">
                  <c:v>136</c:v>
                </c:pt>
                <c:pt idx="73">
                  <c:v>138</c:v>
                </c:pt>
                <c:pt idx="74">
                  <c:v>140</c:v>
                </c:pt>
                <c:pt idx="75">
                  <c:v>142</c:v>
                </c:pt>
                <c:pt idx="76">
                  <c:v>144</c:v>
                </c:pt>
                <c:pt idx="77">
                  <c:v>146</c:v>
                </c:pt>
                <c:pt idx="78">
                  <c:v>148</c:v>
                </c:pt>
                <c:pt idx="79">
                  <c:v>150</c:v>
                </c:pt>
                <c:pt idx="80">
                  <c:v>152</c:v>
                </c:pt>
                <c:pt idx="81">
                  <c:v>154</c:v>
                </c:pt>
                <c:pt idx="82">
                  <c:v>156</c:v>
                </c:pt>
                <c:pt idx="83">
                  <c:v>158</c:v>
                </c:pt>
                <c:pt idx="84">
                  <c:v>160</c:v>
                </c:pt>
                <c:pt idx="85">
                  <c:v>162</c:v>
                </c:pt>
                <c:pt idx="86">
                  <c:v>164</c:v>
                </c:pt>
                <c:pt idx="87">
                  <c:v>166</c:v>
                </c:pt>
                <c:pt idx="88">
                  <c:v>168</c:v>
                </c:pt>
                <c:pt idx="89">
                  <c:v>170</c:v>
                </c:pt>
                <c:pt idx="90">
                  <c:v>172</c:v>
                </c:pt>
                <c:pt idx="91">
                  <c:v>174</c:v>
                </c:pt>
                <c:pt idx="92">
                  <c:v>176</c:v>
                </c:pt>
                <c:pt idx="93">
                  <c:v>178</c:v>
                </c:pt>
                <c:pt idx="94">
                  <c:v>180</c:v>
                </c:pt>
                <c:pt idx="95">
                  <c:v>182</c:v>
                </c:pt>
                <c:pt idx="96">
                  <c:v>184</c:v>
                </c:pt>
                <c:pt idx="97">
                  <c:v>186</c:v>
                </c:pt>
                <c:pt idx="98">
                  <c:v>188</c:v>
                </c:pt>
                <c:pt idx="99">
                  <c:v>190</c:v>
                </c:pt>
                <c:pt idx="100">
                  <c:v>192</c:v>
                </c:pt>
                <c:pt idx="101">
                  <c:v>194</c:v>
                </c:pt>
                <c:pt idx="102">
                  <c:v>196</c:v>
                </c:pt>
                <c:pt idx="103">
                  <c:v>198</c:v>
                </c:pt>
                <c:pt idx="104">
                  <c:v>200</c:v>
                </c:pt>
                <c:pt idx="105">
                  <c:v>202</c:v>
                </c:pt>
                <c:pt idx="106">
                  <c:v>204</c:v>
                </c:pt>
                <c:pt idx="107">
                  <c:v>206</c:v>
                </c:pt>
                <c:pt idx="108">
                  <c:v>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6A-4039-8592-FC68717AFF6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1088256"/>
        <c:axId val="181089792"/>
      </c:lineChart>
      <c:dateAx>
        <c:axId val="181088256"/>
        <c:scaling>
          <c:orientation val="minMax"/>
          <c:max val="44475"/>
          <c:min val="43714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5400000" vert="horz"/>
          <a:lstStyle/>
          <a:p>
            <a:pPr>
              <a:defRPr sz="800"/>
            </a:pPr>
            <a:endParaRPr lang="en-US"/>
          </a:p>
        </c:txPr>
        <c:crossAx val="181089792"/>
        <c:crosses val="autoZero"/>
        <c:auto val="0"/>
        <c:lblOffset val="100"/>
        <c:baseTimeUnit val="days"/>
        <c:majorUnit val="7"/>
        <c:majorTimeUnit val="days"/>
      </c:dateAx>
      <c:valAx>
        <c:axId val="181089792"/>
        <c:scaling>
          <c:orientation val="minMax"/>
          <c:max val="1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Scope</a:t>
                </a:r>
              </a:p>
            </c:rich>
          </c:tx>
          <c:layout>
            <c:manualLayout>
              <c:xMode val="edge"/>
              <c:yMode val="edge"/>
              <c:x val="9.3261935324683715E-3"/>
              <c:y val="0.43244222805482646"/>
            </c:manualLayout>
          </c:layout>
          <c:overlay val="0"/>
        </c:title>
        <c:numFmt formatCode="General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  <a:effectLst>
            <a:outerShdw blurRad="50800" dist="50800" dir="5400000" algn="ctr" rotWithShape="0">
              <a:schemeClr val="bg1"/>
            </a:outerShdw>
          </a:effectLst>
        </c:spPr>
        <c:txPr>
          <a:bodyPr anchor="b" anchorCtr="1"/>
          <a:lstStyle/>
          <a:p>
            <a:pPr>
              <a:defRPr baseline="0">
                <a:solidFill>
                  <a:schemeClr val="tx1"/>
                </a:solidFill>
              </a:defRPr>
            </a:pPr>
            <a:endParaRPr lang="en-US"/>
          </a:p>
        </c:txPr>
        <c:crossAx val="181088256"/>
        <c:crossesAt val="43714"/>
        <c:crossBetween val="between"/>
      </c:valAx>
    </c:plotArea>
    <c:legend>
      <c:legendPos val="b"/>
      <c:layout>
        <c:manualLayout>
          <c:xMode val="edge"/>
          <c:yMode val="edge"/>
          <c:x val="0.11625429397638286"/>
          <c:y val="0.90125204803944958"/>
          <c:w val="0.84901982728629832"/>
          <c:h val="2.6753249839587441E-2"/>
        </c:manualLayout>
      </c:layout>
      <c:overlay val="0"/>
      <c:spPr>
        <a:ln w="3175"/>
      </c:spPr>
    </c:legend>
    <c:plotVisOnly val="1"/>
    <c:dispBlanksAs val="gap"/>
    <c:showDLblsOverMax val="0"/>
  </c:chart>
  <c:spPr>
    <a:noFill/>
    <a:ln w="0">
      <a:solidFill>
        <a:sysClr val="windowText" lastClr="000000">
          <a:tint val="75000"/>
          <a:shade val="95000"/>
          <a:satMod val="105000"/>
        </a:sysClr>
      </a:solidFill>
    </a:ln>
    <a:effectLst>
      <a:outerShdw blurRad="50800" dist="50800" dir="5400000" algn="ctr" rotWithShape="0">
        <a:schemeClr val="tx1"/>
      </a:outerShdw>
    </a:effectLst>
  </c:sp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2176741266120362E-2"/>
          <c:y val="9.3944006999125113E-2"/>
          <c:w val="0.92271984131754525"/>
          <c:h val="0.65737369495479736"/>
        </c:manualLayout>
      </c:layout>
      <c:barChart>
        <c:barDir val="col"/>
        <c:grouping val="clustered"/>
        <c:varyColors val="0"/>
        <c:ser>
          <c:idx val="0"/>
          <c:order val="3"/>
          <c:tx>
            <c:strRef>
              <c:f>'Weekly Throughput'!$O$4</c:f>
              <c:strCache>
                <c:ptCount val="1"/>
                <c:pt idx="0">
                  <c:v>Date</c:v>
                </c:pt>
              </c:strCache>
            </c:strRef>
          </c:tx>
          <c:spPr>
            <a:solidFill>
              <a:schemeClr val="accent1"/>
            </a:solidFill>
            <a:ln w="25400" cmpd="sng">
              <a:solidFill>
                <a:schemeClr val="accent1"/>
              </a:solidFill>
            </a:ln>
          </c:spPr>
          <c:invertIfNegative val="0"/>
          <c:dLbls>
            <c:delete val="1"/>
          </c:dLbls>
          <c:cat>
            <c:numLit>
              <c:formatCode>General</c:formatCode>
              <c:ptCount val="109"/>
              <c:pt idx="0">
                <c:v>43714</c:v>
              </c:pt>
              <c:pt idx="1">
                <c:v>43721</c:v>
              </c:pt>
              <c:pt idx="2">
                <c:v>43728</c:v>
              </c:pt>
              <c:pt idx="3">
                <c:v>43735</c:v>
              </c:pt>
              <c:pt idx="4">
                <c:v>43742</c:v>
              </c:pt>
              <c:pt idx="5">
                <c:v>43749</c:v>
              </c:pt>
              <c:pt idx="6">
                <c:v>43756</c:v>
              </c:pt>
              <c:pt idx="7">
                <c:v>43763</c:v>
              </c:pt>
              <c:pt idx="8">
                <c:v>43770</c:v>
              </c:pt>
              <c:pt idx="9">
                <c:v>43777</c:v>
              </c:pt>
              <c:pt idx="10">
                <c:v>43784</c:v>
              </c:pt>
              <c:pt idx="11">
                <c:v>43791</c:v>
              </c:pt>
              <c:pt idx="12">
                <c:v>43798</c:v>
              </c:pt>
              <c:pt idx="13">
                <c:v>43805</c:v>
              </c:pt>
              <c:pt idx="14">
                <c:v>43812</c:v>
              </c:pt>
              <c:pt idx="15">
                <c:v>43819</c:v>
              </c:pt>
              <c:pt idx="16">
                <c:v>43826</c:v>
              </c:pt>
              <c:pt idx="17">
                <c:v>43833</c:v>
              </c:pt>
              <c:pt idx="18">
                <c:v>43840</c:v>
              </c:pt>
              <c:pt idx="19">
                <c:v>43847</c:v>
              </c:pt>
              <c:pt idx="20">
                <c:v>43854</c:v>
              </c:pt>
              <c:pt idx="21">
                <c:v>43861</c:v>
              </c:pt>
              <c:pt idx="22">
                <c:v>43868</c:v>
              </c:pt>
              <c:pt idx="23">
                <c:v>43875</c:v>
              </c:pt>
              <c:pt idx="24">
                <c:v>43882</c:v>
              </c:pt>
              <c:pt idx="25">
                <c:v>43889</c:v>
              </c:pt>
              <c:pt idx="26">
                <c:v>43896</c:v>
              </c:pt>
              <c:pt idx="27">
                <c:v>43903</c:v>
              </c:pt>
              <c:pt idx="28">
                <c:v>43910</c:v>
              </c:pt>
              <c:pt idx="29">
                <c:v>43917</c:v>
              </c:pt>
              <c:pt idx="30">
                <c:v>43924</c:v>
              </c:pt>
              <c:pt idx="31">
                <c:v>43931</c:v>
              </c:pt>
              <c:pt idx="32">
                <c:v>43938</c:v>
              </c:pt>
              <c:pt idx="33">
                <c:v>43945</c:v>
              </c:pt>
              <c:pt idx="34">
                <c:v>43952</c:v>
              </c:pt>
              <c:pt idx="35">
                <c:v>43959</c:v>
              </c:pt>
              <c:pt idx="36">
                <c:v>43966</c:v>
              </c:pt>
              <c:pt idx="37">
                <c:v>43973</c:v>
              </c:pt>
              <c:pt idx="38">
                <c:v>43980</c:v>
              </c:pt>
              <c:pt idx="39">
                <c:v>43987</c:v>
              </c:pt>
              <c:pt idx="40">
                <c:v>43994</c:v>
              </c:pt>
              <c:pt idx="41">
                <c:v>44001</c:v>
              </c:pt>
              <c:pt idx="42">
                <c:v>44008</c:v>
              </c:pt>
              <c:pt idx="43">
                <c:v>44015</c:v>
              </c:pt>
              <c:pt idx="44">
                <c:v>44022</c:v>
              </c:pt>
              <c:pt idx="45">
                <c:v>44029</c:v>
              </c:pt>
              <c:pt idx="46">
                <c:v>44036</c:v>
              </c:pt>
              <c:pt idx="47">
                <c:v>44043</c:v>
              </c:pt>
              <c:pt idx="48">
                <c:v>44050</c:v>
              </c:pt>
              <c:pt idx="49">
                <c:v>44057</c:v>
              </c:pt>
              <c:pt idx="50">
                <c:v>44064</c:v>
              </c:pt>
              <c:pt idx="51">
                <c:v>44071</c:v>
              </c:pt>
              <c:pt idx="52">
                <c:v>44078</c:v>
              </c:pt>
              <c:pt idx="53">
                <c:v>44085</c:v>
              </c:pt>
              <c:pt idx="54">
                <c:v>44092</c:v>
              </c:pt>
              <c:pt idx="55">
                <c:v>44099</c:v>
              </c:pt>
              <c:pt idx="56">
                <c:v>44106</c:v>
              </c:pt>
              <c:pt idx="57">
                <c:v>44113</c:v>
              </c:pt>
              <c:pt idx="58">
                <c:v>44120</c:v>
              </c:pt>
              <c:pt idx="59">
                <c:v>44127</c:v>
              </c:pt>
              <c:pt idx="60">
                <c:v>44134</c:v>
              </c:pt>
              <c:pt idx="61">
                <c:v>44141</c:v>
              </c:pt>
              <c:pt idx="62">
                <c:v>44148</c:v>
              </c:pt>
              <c:pt idx="63">
                <c:v>44155</c:v>
              </c:pt>
              <c:pt idx="64">
                <c:v>44162</c:v>
              </c:pt>
              <c:pt idx="65">
                <c:v>44169</c:v>
              </c:pt>
              <c:pt idx="66">
                <c:v>44176</c:v>
              </c:pt>
              <c:pt idx="67">
                <c:v>44183</c:v>
              </c:pt>
              <c:pt idx="68">
                <c:v>44190</c:v>
              </c:pt>
              <c:pt idx="69">
                <c:v>44197</c:v>
              </c:pt>
              <c:pt idx="70">
                <c:v>44204</c:v>
              </c:pt>
              <c:pt idx="71">
                <c:v>44211</c:v>
              </c:pt>
              <c:pt idx="72">
                <c:v>44218</c:v>
              </c:pt>
              <c:pt idx="73">
                <c:v>44225</c:v>
              </c:pt>
              <c:pt idx="74">
                <c:v>44232</c:v>
              </c:pt>
              <c:pt idx="75">
                <c:v>44239</c:v>
              </c:pt>
              <c:pt idx="76">
                <c:v>44246</c:v>
              </c:pt>
              <c:pt idx="77">
                <c:v>44253</c:v>
              </c:pt>
              <c:pt idx="78">
                <c:v>44260</c:v>
              </c:pt>
              <c:pt idx="79">
                <c:v>44267</c:v>
              </c:pt>
              <c:pt idx="80">
                <c:v>44274</c:v>
              </c:pt>
              <c:pt idx="81">
                <c:v>44281</c:v>
              </c:pt>
              <c:pt idx="82">
                <c:v>44288</c:v>
              </c:pt>
              <c:pt idx="83">
                <c:v>44295</c:v>
              </c:pt>
              <c:pt idx="84">
                <c:v>44302</c:v>
              </c:pt>
              <c:pt idx="85">
                <c:v>44309</c:v>
              </c:pt>
              <c:pt idx="86">
                <c:v>44316</c:v>
              </c:pt>
              <c:pt idx="87">
                <c:v>44323</c:v>
              </c:pt>
              <c:pt idx="88">
                <c:v>44330</c:v>
              </c:pt>
              <c:pt idx="89">
                <c:v>44337</c:v>
              </c:pt>
              <c:pt idx="90">
                <c:v>44344</c:v>
              </c:pt>
              <c:pt idx="91">
                <c:v>44351</c:v>
              </c:pt>
              <c:pt idx="92">
                <c:v>44358</c:v>
              </c:pt>
              <c:pt idx="93">
                <c:v>44365</c:v>
              </c:pt>
              <c:pt idx="94">
                <c:v>44372</c:v>
              </c:pt>
              <c:pt idx="95">
                <c:v>44379</c:v>
              </c:pt>
              <c:pt idx="96">
                <c:v>44386</c:v>
              </c:pt>
              <c:pt idx="97">
                <c:v>44393</c:v>
              </c:pt>
              <c:pt idx="98">
                <c:v>44400</c:v>
              </c:pt>
              <c:pt idx="99">
                <c:v>44407</c:v>
              </c:pt>
              <c:pt idx="100">
                <c:v>44414</c:v>
              </c:pt>
              <c:pt idx="101">
                <c:v>44421</c:v>
              </c:pt>
              <c:pt idx="102">
                <c:v>44428</c:v>
              </c:pt>
              <c:pt idx="103">
                <c:v>44435</c:v>
              </c:pt>
              <c:pt idx="104">
                <c:v>44442</c:v>
              </c:pt>
              <c:pt idx="105">
                <c:v>44449</c:v>
              </c:pt>
              <c:pt idx="106">
                <c:v>44456</c:v>
              </c:pt>
              <c:pt idx="107">
                <c:v>44463</c:v>
              </c:pt>
              <c:pt idx="108">
                <c:v>44470</c:v>
              </c:pt>
            </c:numLit>
          </c:cat>
          <c:val>
            <c:numRef>
              <c:f>'Weekly Throughput'!$O$5:$O$113</c:f>
              <c:numCache>
                <c:formatCode>m/d/yyyy</c:formatCode>
                <c:ptCount val="109"/>
                <c:pt idx="9">
                  <c:v>43777</c:v>
                </c:pt>
                <c:pt idx="34">
                  <c:v>43952</c:v>
                </c:pt>
                <c:pt idx="45">
                  <c:v>44029</c:v>
                </c:pt>
                <c:pt idx="71">
                  <c:v>44211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B2-4523-A96D-F2DE9CC8612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1088256"/>
        <c:axId val="181089792"/>
      </c:barChart>
      <c:lineChart>
        <c:grouping val="standard"/>
        <c:varyColors val="0"/>
        <c:ser>
          <c:idx val="3"/>
          <c:order val="0"/>
          <c:tx>
            <c:strRef>
              <c:f>'Weekly Throughput'!$D$4</c:f>
              <c:strCache>
                <c:ptCount val="1"/>
                <c:pt idx="0">
                  <c:v>Accumulated Scope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delete val="1"/>
          </c:dLbls>
          <c:cat>
            <c:multiLvlStrRef>
              <c:f>#REF!</c:f>
            </c:multiLvlStrRef>
          </c:cat>
          <c:val>
            <c:numRef>
              <c:f>'Weekly Throughput'!$D$5:$D$113</c:f>
              <c:numCache>
                <c:formatCode>General</c:formatCode>
                <c:ptCount val="109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B2-4523-A96D-F2DE9CC86128}"/>
            </c:ext>
          </c:extLst>
        </c:ser>
        <c:ser>
          <c:idx val="5"/>
          <c:order val="1"/>
          <c:tx>
            <c:strRef>
              <c:f>'Weekly Throughput'!$E$4</c:f>
              <c:strCache>
                <c:ptCount val="1"/>
                <c:pt idx="0">
                  <c:v>Projected Scope</c:v>
                </c:pt>
              </c:strCache>
            </c:strRef>
          </c:tx>
          <c:spPr>
            <a:ln w="50800">
              <a:solidFill>
                <a:srgbClr val="7030A0"/>
              </a:solidFill>
              <a:prstDash val="dash"/>
              <a:tailEnd w="lg" len="lg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B2-4523-A96D-F2DE9CC861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B2-4523-A96D-F2DE9CC8612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B2-4523-A96D-F2DE9CC8612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2B2-4523-A96D-F2DE9CC8612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2B2-4523-A96D-F2DE9CC8612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2B2-4523-A96D-F2DE9CC8612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2B2-4523-A96D-F2DE9CC8612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2B2-4523-A96D-F2DE9CC8612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2B2-4523-A96D-F2DE9CC8612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ABA46C6-E8FF-474D-A630-1F6FB082FF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2B2-4523-A96D-F2DE9CC8612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F627A50-FF5C-4136-9748-F196DF2F11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2B2-4523-A96D-F2DE9CC8612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9E69E39-C382-4EDE-8E84-BF78E38CD6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2B2-4523-A96D-F2DE9CC8612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11A9E7E-40DD-4148-B73A-18C560FA3A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2B2-4523-A96D-F2DE9CC8612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CC0BC5-D2E0-4EFC-9229-8EBF423289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2B2-4523-A96D-F2DE9CC8612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16999F8-ED6A-4676-B4AB-8C2298066C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2B2-4523-A96D-F2DE9CC8612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D4F124F-FA46-40AB-9227-B63FEA2585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2B2-4523-A96D-F2DE9CC8612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D858B6F-65A0-4E1A-8100-E019FD2A4D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2B2-4523-A96D-F2DE9CC8612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496A71F-04D1-4AD0-B8A6-C3EAD2272B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2B2-4523-A96D-F2DE9CC8612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7584E46-4CCD-41B9-BBC9-E4118123E9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2B2-4523-A96D-F2DE9CC8612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FF52FC-727E-438B-97C6-F949C7F867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2B2-4523-A96D-F2DE9CC8612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95D7131-D0B7-47EA-B44D-D79E66AA1D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2B2-4523-A96D-F2DE9CC8612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D7F2B13-27FE-4EC6-99FD-BDD77EE733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2B2-4523-A96D-F2DE9CC8612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AF8294A-4B19-4585-9E7C-15E9D01D28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2B2-4523-A96D-F2DE9CC8612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7BCB61A-60AF-4F70-A6EF-43593A3961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2B2-4523-A96D-F2DE9CC8612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43CC0A7-F1AB-4D03-8575-1A5200E8B0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2B2-4523-A96D-F2DE9CC8612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A7B5FF3-C338-4A29-9A12-13B6E2E4B3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2B2-4523-A96D-F2DE9CC8612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835B455-1A85-44C4-B65B-6394F74078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2B2-4523-A96D-F2DE9CC8612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CBF215D-4003-4196-A368-563F6420B3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2B2-4523-A96D-F2DE9CC8612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A1F7947-A73D-4C1A-AAC6-35F6E983F9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2B2-4523-A96D-F2DE9CC8612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8487B12-882D-4ACB-B4CD-EB12F82119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2B2-4523-A96D-F2DE9CC8612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0D9F5C8-A809-427E-99BE-733271357A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2B2-4523-A96D-F2DE9CC8612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3DDC4CF-B93C-4047-A84D-BD2D14803F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2B2-4523-A96D-F2DE9CC8612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23BAB65-DD16-4876-89AB-922B9F80BD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2B2-4523-A96D-F2DE9CC8612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D7E54EA-F87F-417D-BA81-EF33D21753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2B2-4523-A96D-F2DE9CC8612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6E1899F-0657-4369-9745-19B7DF367F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2B2-4523-A96D-F2DE9CC8612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13316DA-33EC-4CDE-94AF-B9A226AF2A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2B2-4523-A96D-F2DE9CC8612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B46EFC3-58BB-4E7F-B0C9-5A61B93BFA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2B2-4523-A96D-F2DE9CC8612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D11B87C-F622-4AAE-BD68-26899815AC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2B2-4523-A96D-F2DE9CC8612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5FBD1AC-52EC-499A-B6B0-C522C1864E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2B2-4523-A96D-F2DE9CC8612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77070B7-D259-4BBF-8D78-30EB9DE0D8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2B2-4523-A96D-F2DE9CC8612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514807F-A5B6-4561-BAC0-AC1F011591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2B2-4523-A96D-F2DE9CC8612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2CE6B50-302B-43F8-8629-EECBF46EDC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2B2-4523-A96D-F2DE9CC8612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9B544F0-0626-42B0-A211-B942A73BE8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2B2-4523-A96D-F2DE9CC8612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DB4FE87-29EC-4751-86A0-D46F39C28B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2B2-4523-A96D-F2DE9CC8612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94614CF-E915-4F6F-8556-C03C483F5C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2B2-4523-A96D-F2DE9CC8612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C40C571-ACC2-4777-B236-3A1EE81E29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2B2-4523-A96D-F2DE9CC8612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CD7CC3D-3CD2-45D5-925B-69B65FA29F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2B2-4523-A96D-F2DE9CC8612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50FCABD-596E-4CF0-9D9B-7F6E14A00C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2B2-4523-A96D-F2DE9CC8612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2FACD3B-1CB8-4FD0-B306-16DFE05B37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2B2-4523-A96D-F2DE9CC8612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32ADD1C-A4EC-4D0B-BA63-86DD804EE9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2B2-4523-A96D-F2DE9CC8612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D31BA43-6CDE-40C5-9273-553C993C0B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2B2-4523-A96D-F2DE9CC8612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FADF910-CD70-4BA1-8F6D-AA323876B5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2B2-4523-A96D-F2DE9CC8612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E3AA471-4B3F-4466-9ED6-A669C85403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2B2-4523-A96D-F2DE9CC8612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52CD3A5-97FF-4663-98A7-E3ED1816E6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2B2-4523-A96D-F2DE9CC8612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8BE6DD8-808A-4D9A-AAA5-4BDB7662D8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2B2-4523-A96D-F2DE9CC8612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4B953A7-5486-4F28-8A7B-C661ED6BCB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2B2-4523-A96D-F2DE9CC8612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5A9672D-48CB-43E4-8AAA-64F3B86D24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2B2-4523-A96D-F2DE9CC8612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2E884EA-E2C6-4DA4-A90C-A884220CCB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2B2-4523-A96D-F2DE9CC8612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468CC3B-C2F1-4308-9190-A213291A60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2B2-4523-A96D-F2DE9CC8612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A22C40D-EDDC-49F1-B9AA-078D262E06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2B2-4523-A96D-F2DE9CC8612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4969650-C093-4524-A364-67C2015AEB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2B2-4523-A96D-F2DE9CC8612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9C00E7F-77CA-42C9-9A20-6A5EB50576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2B2-4523-A96D-F2DE9CC8612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059305A-6BFF-40A3-864D-3B5992CD2D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2B2-4523-A96D-F2DE9CC8612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82A8A6A-9F68-437E-B229-9AE11EACEE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2B2-4523-A96D-F2DE9CC8612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67A104B-5FCD-4BB7-9742-50A5C8389C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2B2-4523-A96D-F2DE9CC8612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83606D4-9446-4DCC-A1C2-E04C42D85D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2B2-4523-A96D-F2DE9CC8612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B5BAA5D-F87B-43B6-BA6E-007DD5FB7D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2B2-4523-A96D-F2DE9CC8612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F69FF9C-F313-4B3A-910E-2EFD79C528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2B2-4523-A96D-F2DE9CC8612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AC2118B-ECFB-4F0D-BB56-306A9BC194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2B2-4523-A96D-F2DE9CC8612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3941078-562F-4947-ABA4-7F7AB02ED8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2B2-4523-A96D-F2DE9CC8612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F704C7C-EB32-4BA7-AA08-206BA3EB2F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2B2-4523-A96D-F2DE9CC8612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337EBDA-F574-4A70-902F-4BD10E9414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2B2-4523-A96D-F2DE9CC8612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AE21C9E-8FEE-4DE4-B3A4-49C95A34BF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2B2-4523-A96D-F2DE9CC8612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BFC097B-669B-40E9-A62D-B5EBCA3C18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2B2-4523-A96D-F2DE9CC8612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925A811-CC36-430B-9804-CB07A96C72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2B2-4523-A96D-F2DE9CC8612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E8176CA-36CC-49A2-B738-AAE69479A3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2B2-4523-A96D-F2DE9CC8612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2FDFA5A-D259-4910-9432-086AC0988E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2B2-4523-A96D-F2DE9CC8612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4443C66-3D35-41C0-9D21-D881B228DA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2B2-4523-A96D-F2DE9CC8612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66D608-5985-41F4-ACE1-6C60A38287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2B2-4523-A96D-F2DE9CC8612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560AFBE-E097-483F-A371-41C1A75A15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2B2-4523-A96D-F2DE9CC8612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67AF7D4-6E46-4652-86AA-4814C80D5C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2B2-4523-A96D-F2DE9CC8612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7E22423-3CF2-4249-8CA2-2D166CF254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2B2-4523-A96D-F2DE9CC8612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A8B4BD9-A082-4D95-B6E0-4EE5B1A27C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2B2-4523-A96D-F2DE9CC8612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FE64965-4A71-4E4C-B221-A94E4C8387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2B2-4523-A96D-F2DE9CC8612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1162D9C-B054-4CB6-A59C-D3B23DF113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2B2-4523-A96D-F2DE9CC8612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B83BF7D-1BEB-479B-AB38-13F655E824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2B2-4523-A96D-F2DE9CC8612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4F90F96-B58B-4D92-BB9D-14DCFC06C0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2B2-4523-A96D-F2DE9CC8612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639CBD0-8662-4194-BCC1-E6E62F7A52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2B2-4523-A96D-F2DE9CC8612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DC6841D-94CA-4E06-B1ED-DFC31F77BD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2B2-4523-A96D-F2DE9CC8612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1B239DF-D5DA-4D32-84D3-9F337DF697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2B2-4523-A96D-F2DE9CC8612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C1156F9-E037-4088-9D99-1D2CE8C815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2B2-4523-A96D-F2DE9CC8612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9689BDC-6C89-480C-8445-173AB0ED94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2B2-4523-A96D-F2DE9CC8612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12756AB-4849-4DB3-90F7-2AAF58619E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2B2-4523-A96D-F2DE9CC8612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87390F6-81DF-4773-9B85-2AF5B8C24F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2B2-4523-A96D-F2DE9CC8612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8E6B720-3F72-473B-B39C-D68ED49C65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2B2-4523-A96D-F2DE9CC8612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9362617-C425-4A19-96B9-4C21B64BEF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2B2-4523-A96D-F2DE9CC8612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6135E78-8B99-4698-8B23-F2DBF3660A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2B2-4523-A96D-F2DE9CC8612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23FD2EA-F340-4626-96EF-4879174186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2B2-4523-A96D-F2DE9CC8612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F1E29EA-4D88-4110-9679-AEBC27CB55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2B2-4523-A96D-F2DE9CC8612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7F47C62-EB82-4B23-A193-5CDD1E319B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2B2-4523-A96D-F2DE9CC8612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1449A40-8E3F-4B0E-BAEB-E7170BA623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2B2-4523-A96D-F2DE9CC8612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E3C5435-0454-4940-8BD8-4C1C111AC1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2B2-4523-A96D-F2DE9CC8612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4713CAD-9911-4B07-9FE3-EAB7641FBD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2B2-4523-A96D-F2DE9CC8612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D0EA46A-319F-45DB-8ED3-E5D3224E60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2B2-4523-A96D-F2DE9CC8612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6B6C000-F1E2-40B2-93E6-0AA95069DD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2B2-4523-A96D-F2DE9CC8612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C22859B-B0CC-4398-A7BD-3EED7803AF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2B2-4523-A96D-F2DE9CC8612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07AE332-3347-40A6-B95A-69E92D6B5A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2B2-4523-A96D-F2DE9CC8612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60CBFE7-F172-4F4E-8581-6FBE438EA0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2B2-4523-A96D-F2DE9CC8612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17C2440-3E7C-415C-93FB-1F94063CCB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2B2-4523-A96D-F2DE9CC8612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92B2-4523-A96D-F2DE9CC86128}"/>
                </c:ext>
              </c:extLst>
            </c:dLbl>
            <c:spPr>
              <a:solidFill>
                <a:srgbClr val="FFFF00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multiLvlStrRef>
              <c:f>#REF!</c:f>
            </c:multiLvlStrRef>
          </c:cat>
          <c:val>
            <c:numRef>
              <c:f>'Weekly Throughput'!$E$5:$E$114</c:f>
              <c:numCache>
                <c:formatCode>General</c:formatCode>
                <c:ptCount val="110"/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'Weekly Throughput'!$O$5:$O$113</c15:f>
                <c15:dlblRangeCache>
                  <c:ptCount val="109"/>
                  <c:pt idx="9">
                    <c:v>11/8/2019</c:v>
                  </c:pt>
                  <c:pt idx="34">
                    <c:v>5/1/2020</c:v>
                  </c:pt>
                  <c:pt idx="45">
                    <c:v>7/17/2020</c:v>
                  </c:pt>
                  <c:pt idx="71">
                    <c:v>1/15/2021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70-92B2-4523-A96D-F2DE9CC86128}"/>
            </c:ext>
          </c:extLst>
        </c:ser>
        <c:ser>
          <c:idx val="1"/>
          <c:order val="2"/>
          <c:tx>
            <c:strRef>
              <c:f>'Weekly Throughput'!$J$4</c:f>
              <c:strCache>
                <c:ptCount val="1"/>
                <c:pt idx="0">
                  <c:v>Accumulated Throuhput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#REF!</c:f>
            </c:multiLvlStrRef>
          </c:cat>
          <c:val>
            <c:numRef>
              <c:f>'Weekly Throughput'!$J$5:$J$14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92B2-4523-A96D-F2DE9CC86128}"/>
            </c:ext>
          </c:extLst>
        </c:ser>
        <c:ser>
          <c:idx val="4"/>
          <c:order val="4"/>
          <c:tx>
            <c:strRef>
              <c:f>'Weekly Throughput'!$M$4</c:f>
              <c:strCache>
                <c:ptCount val="1"/>
                <c:pt idx="0">
                  <c:v>Pessimistic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Throughput'!$M$5:$M$113</c:f>
              <c:numCache>
                <c:formatCode>0.00</c:formatCode>
                <c:ptCount val="109"/>
                <c:pt idx="9">
                  <c:v>10</c:v>
                </c:pt>
                <c:pt idx="10">
                  <c:v>11.143651161422325</c:v>
                </c:pt>
                <c:pt idx="11">
                  <c:v>12.287302322844649</c:v>
                </c:pt>
                <c:pt idx="12">
                  <c:v>13.430953484266974</c:v>
                </c:pt>
                <c:pt idx="13">
                  <c:v>14.574604645689298</c:v>
                </c:pt>
                <c:pt idx="14">
                  <c:v>15.718255807111623</c:v>
                </c:pt>
                <c:pt idx="15">
                  <c:v>16.861906968533951</c:v>
                </c:pt>
                <c:pt idx="16">
                  <c:v>18.005558129956277</c:v>
                </c:pt>
                <c:pt idx="17">
                  <c:v>19.149209291378604</c:v>
                </c:pt>
                <c:pt idx="18">
                  <c:v>20.29286045280093</c:v>
                </c:pt>
                <c:pt idx="19">
                  <c:v>21.436511614223257</c:v>
                </c:pt>
                <c:pt idx="20">
                  <c:v>22.580162775645583</c:v>
                </c:pt>
                <c:pt idx="21">
                  <c:v>23.723813937067909</c:v>
                </c:pt>
                <c:pt idx="22">
                  <c:v>24.867465098490236</c:v>
                </c:pt>
                <c:pt idx="23">
                  <c:v>26.011116259912562</c:v>
                </c:pt>
                <c:pt idx="24">
                  <c:v>27.154767421334888</c:v>
                </c:pt>
                <c:pt idx="25">
                  <c:v>28.298418582757215</c:v>
                </c:pt>
                <c:pt idx="26">
                  <c:v>29.442069744179541</c:v>
                </c:pt>
                <c:pt idx="27">
                  <c:v>30.585720905601868</c:v>
                </c:pt>
                <c:pt idx="28">
                  <c:v>31.729372067024194</c:v>
                </c:pt>
                <c:pt idx="29">
                  <c:v>32.87302322844652</c:v>
                </c:pt>
                <c:pt idx="30">
                  <c:v>34.016674389868847</c:v>
                </c:pt>
                <c:pt idx="31">
                  <c:v>35.160325551291173</c:v>
                </c:pt>
                <c:pt idx="32">
                  <c:v>36.303976712713499</c:v>
                </c:pt>
                <c:pt idx="33">
                  <c:v>37.447627874135826</c:v>
                </c:pt>
                <c:pt idx="34">
                  <c:v>38.591279035558152</c:v>
                </c:pt>
                <c:pt idx="35">
                  <c:v>39.734930196980478</c:v>
                </c:pt>
                <c:pt idx="36">
                  <c:v>40.878581358402805</c:v>
                </c:pt>
                <c:pt idx="37">
                  <c:v>42.022232519825131</c:v>
                </c:pt>
                <c:pt idx="38">
                  <c:v>43.165883681247458</c:v>
                </c:pt>
                <c:pt idx="39">
                  <c:v>44.309534842669784</c:v>
                </c:pt>
                <c:pt idx="40">
                  <c:v>45.45318600409211</c:v>
                </c:pt>
                <c:pt idx="41">
                  <c:v>46.596837165514437</c:v>
                </c:pt>
                <c:pt idx="42">
                  <c:v>47.740488326936763</c:v>
                </c:pt>
                <c:pt idx="43">
                  <c:v>48.884139488359089</c:v>
                </c:pt>
                <c:pt idx="44">
                  <c:v>50.027790649781416</c:v>
                </c:pt>
                <c:pt idx="45">
                  <c:v>51.171441811203742</c:v>
                </c:pt>
                <c:pt idx="46">
                  <c:v>52.315092972626069</c:v>
                </c:pt>
                <c:pt idx="47">
                  <c:v>53.458744134048395</c:v>
                </c:pt>
                <c:pt idx="48">
                  <c:v>54.602395295470721</c:v>
                </c:pt>
                <c:pt idx="49">
                  <c:v>55.746046456893048</c:v>
                </c:pt>
                <c:pt idx="50">
                  <c:v>56.889697618315374</c:v>
                </c:pt>
                <c:pt idx="51">
                  <c:v>58.0333487797377</c:v>
                </c:pt>
                <c:pt idx="52">
                  <c:v>59.176999941160027</c:v>
                </c:pt>
                <c:pt idx="53">
                  <c:v>60.320651102582353</c:v>
                </c:pt>
                <c:pt idx="54">
                  <c:v>61.464302264004679</c:v>
                </c:pt>
                <c:pt idx="55">
                  <c:v>62.607953425427006</c:v>
                </c:pt>
                <c:pt idx="56">
                  <c:v>63.751604586849339</c:v>
                </c:pt>
                <c:pt idx="57">
                  <c:v>64.895255748271666</c:v>
                </c:pt>
                <c:pt idx="58">
                  <c:v>66.038906909693992</c:v>
                </c:pt>
                <c:pt idx="59">
                  <c:v>67.182558071116318</c:v>
                </c:pt>
                <c:pt idx="60">
                  <c:v>68.326209232538645</c:v>
                </c:pt>
                <c:pt idx="61">
                  <c:v>69.469860393960971</c:v>
                </c:pt>
                <c:pt idx="62">
                  <c:v>70.613511555383297</c:v>
                </c:pt>
                <c:pt idx="63">
                  <c:v>71.757162716805624</c:v>
                </c:pt>
                <c:pt idx="64">
                  <c:v>72.90081387822795</c:v>
                </c:pt>
                <c:pt idx="65">
                  <c:v>74.044465039650277</c:v>
                </c:pt>
                <c:pt idx="66">
                  <c:v>75.188116201072603</c:v>
                </c:pt>
                <c:pt idx="67">
                  <c:v>76.331767362494929</c:v>
                </c:pt>
                <c:pt idx="68">
                  <c:v>77.475418523917256</c:v>
                </c:pt>
                <c:pt idx="69">
                  <c:v>78.619069685339582</c:v>
                </c:pt>
                <c:pt idx="70">
                  <c:v>79.762720846761908</c:v>
                </c:pt>
                <c:pt idx="71">
                  <c:v>80.906372008184235</c:v>
                </c:pt>
                <c:pt idx="72">
                  <c:v>82.050023169606561</c:v>
                </c:pt>
                <c:pt idx="73">
                  <c:v>83.193674331028888</c:v>
                </c:pt>
                <c:pt idx="74">
                  <c:v>84.337325492451214</c:v>
                </c:pt>
                <c:pt idx="75">
                  <c:v>85.48097665387354</c:v>
                </c:pt>
                <c:pt idx="76">
                  <c:v>86.624627815295867</c:v>
                </c:pt>
                <c:pt idx="77">
                  <c:v>87.768278976718193</c:v>
                </c:pt>
                <c:pt idx="78">
                  <c:v>88.911930138140519</c:v>
                </c:pt>
                <c:pt idx="79">
                  <c:v>90.055581299562846</c:v>
                </c:pt>
                <c:pt idx="80">
                  <c:v>91.199232460985172</c:v>
                </c:pt>
                <c:pt idx="81">
                  <c:v>92.342883622407498</c:v>
                </c:pt>
                <c:pt idx="82">
                  <c:v>93.486534783829825</c:v>
                </c:pt>
                <c:pt idx="83">
                  <c:v>94.630185945252151</c:v>
                </c:pt>
                <c:pt idx="84">
                  <c:v>95.773837106674478</c:v>
                </c:pt>
                <c:pt idx="85">
                  <c:v>96.917488268096804</c:v>
                </c:pt>
                <c:pt idx="86">
                  <c:v>98.06113942951913</c:v>
                </c:pt>
                <c:pt idx="87">
                  <c:v>99.204790590941457</c:v>
                </c:pt>
                <c:pt idx="88">
                  <c:v>100.34844175236378</c:v>
                </c:pt>
                <c:pt idx="89">
                  <c:v>101.49209291378611</c:v>
                </c:pt>
                <c:pt idx="90">
                  <c:v>102.63574407520844</c:v>
                </c:pt>
                <c:pt idx="91">
                  <c:v>103.77939523663076</c:v>
                </c:pt>
                <c:pt idx="92">
                  <c:v>104.92304639805309</c:v>
                </c:pt>
                <c:pt idx="93">
                  <c:v>106.06669755947541</c:v>
                </c:pt>
                <c:pt idx="94">
                  <c:v>107.21034872089774</c:v>
                </c:pt>
                <c:pt idx="95">
                  <c:v>108.35399988232007</c:v>
                </c:pt>
                <c:pt idx="96">
                  <c:v>109.49765104374239</c:v>
                </c:pt>
                <c:pt idx="97">
                  <c:v>110.64130220516472</c:v>
                </c:pt>
                <c:pt idx="98">
                  <c:v>111.78495336658705</c:v>
                </c:pt>
                <c:pt idx="99">
                  <c:v>112.92860452800937</c:v>
                </c:pt>
                <c:pt idx="100">
                  <c:v>114.0722556894317</c:v>
                </c:pt>
                <c:pt idx="101">
                  <c:v>115.21590685085403</c:v>
                </c:pt>
                <c:pt idx="102">
                  <c:v>116.35955801227635</c:v>
                </c:pt>
                <c:pt idx="103">
                  <c:v>117.50320917369868</c:v>
                </c:pt>
                <c:pt idx="104">
                  <c:v>118.646860335121</c:v>
                </c:pt>
                <c:pt idx="105">
                  <c:v>119.79051149654333</c:v>
                </c:pt>
                <c:pt idx="106">
                  <c:v>120.93416265796566</c:v>
                </c:pt>
                <c:pt idx="107">
                  <c:v>122.07781381938798</c:v>
                </c:pt>
                <c:pt idx="108">
                  <c:v>123.22146498081031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92B2-4523-A96D-F2DE9CC86128}"/>
            </c:ext>
          </c:extLst>
        </c:ser>
        <c:ser>
          <c:idx val="6"/>
          <c:order val="5"/>
          <c:tx>
            <c:strRef>
              <c:f>'Weekly Throughput'!$F$4</c:f>
              <c:strCache>
                <c:ptCount val="1"/>
                <c:pt idx="0">
                  <c:v>Target Week Migration Completion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Throughput'!$F$5:$F$113</c:f>
              <c:numCache>
                <c:formatCode>m/d/yyyy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92B2-4523-A96D-F2DE9CC86128}"/>
            </c:ext>
          </c:extLst>
        </c:ser>
        <c:ser>
          <c:idx val="7"/>
          <c:order val="6"/>
          <c:tx>
            <c:strRef>
              <c:f>'Weekly Throughput'!$L$4</c:f>
              <c:strCache>
                <c:ptCount val="1"/>
                <c:pt idx="0">
                  <c:v>Optimistic</c:v>
                </c:pt>
              </c:strCache>
            </c:strRef>
          </c:tx>
          <c:spPr>
            <a:ln>
              <a:solidFill>
                <a:srgbClr val="0070C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Throughput'!$L$5:$L$113</c:f>
              <c:numCache>
                <c:formatCode>0.00</c:formatCode>
                <c:ptCount val="109"/>
                <c:pt idx="9">
                  <c:v>10</c:v>
                </c:pt>
                <c:pt idx="10">
                  <c:v>12.856348838577675</c:v>
                </c:pt>
                <c:pt idx="11">
                  <c:v>15.712697677155351</c:v>
                </c:pt>
                <c:pt idx="12">
                  <c:v>18.569046515733024</c:v>
                </c:pt>
                <c:pt idx="13">
                  <c:v>21.425395354310698</c:v>
                </c:pt>
                <c:pt idx="14">
                  <c:v>24.281744192888372</c:v>
                </c:pt>
                <c:pt idx="15">
                  <c:v>27.138093031466045</c:v>
                </c:pt>
                <c:pt idx="16">
                  <c:v>29.994441870043719</c:v>
                </c:pt>
                <c:pt idx="17">
                  <c:v>32.850790708621396</c:v>
                </c:pt>
                <c:pt idx="18">
                  <c:v>35.70713954719907</c:v>
                </c:pt>
                <c:pt idx="19">
                  <c:v>38.563488385776743</c:v>
                </c:pt>
                <c:pt idx="20">
                  <c:v>41.419837224354417</c:v>
                </c:pt>
                <c:pt idx="21">
                  <c:v>44.276186062932091</c:v>
                </c:pt>
                <c:pt idx="22">
                  <c:v>47.132534901509764</c:v>
                </c:pt>
                <c:pt idx="23">
                  <c:v>49.988883740087438</c:v>
                </c:pt>
                <c:pt idx="24">
                  <c:v>52.845232578665112</c:v>
                </c:pt>
                <c:pt idx="25">
                  <c:v>55.701581417242785</c:v>
                </c:pt>
                <c:pt idx="26">
                  <c:v>58.557930255820459</c:v>
                </c:pt>
                <c:pt idx="27">
                  <c:v>61.414279094398132</c:v>
                </c:pt>
                <c:pt idx="28">
                  <c:v>64.270627932975813</c:v>
                </c:pt>
                <c:pt idx="29">
                  <c:v>67.126976771553487</c:v>
                </c:pt>
                <c:pt idx="30">
                  <c:v>69.98332561013116</c:v>
                </c:pt>
                <c:pt idx="31">
                  <c:v>72.839674448708834</c:v>
                </c:pt>
                <c:pt idx="32">
                  <c:v>75.696023287286508</c:v>
                </c:pt>
                <c:pt idx="33">
                  <c:v>78.552372125864181</c:v>
                </c:pt>
                <c:pt idx="34">
                  <c:v>81.408720964441855</c:v>
                </c:pt>
                <c:pt idx="35">
                  <c:v>84.265069803019529</c:v>
                </c:pt>
                <c:pt idx="36">
                  <c:v>87.121418641597202</c:v>
                </c:pt>
                <c:pt idx="37">
                  <c:v>89.977767480174876</c:v>
                </c:pt>
                <c:pt idx="38">
                  <c:v>92.83411631875255</c:v>
                </c:pt>
                <c:pt idx="39">
                  <c:v>95.690465157330223</c:v>
                </c:pt>
                <c:pt idx="40">
                  <c:v>98.546813995907897</c:v>
                </c:pt>
                <c:pt idx="41">
                  <c:v>101.40316283448557</c:v>
                </c:pt>
                <c:pt idx="42">
                  <c:v>104.25951167306324</c:v>
                </c:pt>
                <c:pt idx="43">
                  <c:v>107.11586051164092</c:v>
                </c:pt>
                <c:pt idx="44">
                  <c:v>109.97220935021859</c:v>
                </c:pt>
                <c:pt idx="45">
                  <c:v>112.82855818879626</c:v>
                </c:pt>
                <c:pt idx="46">
                  <c:v>115.68490702737394</c:v>
                </c:pt>
                <c:pt idx="47">
                  <c:v>118.54125586595161</c:v>
                </c:pt>
                <c:pt idx="48">
                  <c:v>121.39760470452929</c:v>
                </c:pt>
                <c:pt idx="49">
                  <c:v>124.25395354310696</c:v>
                </c:pt>
                <c:pt idx="50">
                  <c:v>127.11030238168463</c:v>
                </c:pt>
                <c:pt idx="51">
                  <c:v>129.96665122026229</c:v>
                </c:pt>
                <c:pt idx="52">
                  <c:v>132.82300005883997</c:v>
                </c:pt>
                <c:pt idx="53">
                  <c:v>135.67934889741764</c:v>
                </c:pt>
                <c:pt idx="54">
                  <c:v>138.53569773599531</c:v>
                </c:pt>
                <c:pt idx="55">
                  <c:v>141.39204657457299</c:v>
                </c:pt>
                <c:pt idx="56">
                  <c:v>144.24839541315066</c:v>
                </c:pt>
                <c:pt idx="57">
                  <c:v>147.10474425172833</c:v>
                </c:pt>
                <c:pt idx="58">
                  <c:v>149.96109309030601</c:v>
                </c:pt>
                <c:pt idx="59">
                  <c:v>152.81744192888368</c:v>
                </c:pt>
                <c:pt idx="60">
                  <c:v>155.67379076746136</c:v>
                </c:pt>
                <c:pt idx="61">
                  <c:v>158.53013960603903</c:v>
                </c:pt>
                <c:pt idx="62">
                  <c:v>161.3864884446167</c:v>
                </c:pt>
                <c:pt idx="63">
                  <c:v>164.24283728319438</c:v>
                </c:pt>
                <c:pt idx="64">
                  <c:v>167.09918612177205</c:v>
                </c:pt>
                <c:pt idx="65">
                  <c:v>169.95553496034972</c:v>
                </c:pt>
                <c:pt idx="66">
                  <c:v>172.8118837989274</c:v>
                </c:pt>
                <c:pt idx="67">
                  <c:v>175.66823263750507</c:v>
                </c:pt>
                <c:pt idx="68">
                  <c:v>178.52458147608274</c:v>
                </c:pt>
                <c:pt idx="69">
                  <c:v>181.38093031466042</c:v>
                </c:pt>
                <c:pt idx="70">
                  <c:v>184.23727915323809</c:v>
                </c:pt>
                <c:pt idx="71">
                  <c:v>187.09362799181577</c:v>
                </c:pt>
                <c:pt idx="72">
                  <c:v>189.94997683039344</c:v>
                </c:pt>
                <c:pt idx="73">
                  <c:v>192.80632566897111</c:v>
                </c:pt>
                <c:pt idx="74">
                  <c:v>195.66267450754879</c:v>
                </c:pt>
                <c:pt idx="75">
                  <c:v>198.51902334612646</c:v>
                </c:pt>
                <c:pt idx="76">
                  <c:v>201.37537218470413</c:v>
                </c:pt>
                <c:pt idx="77">
                  <c:v>204.23172102328181</c:v>
                </c:pt>
                <c:pt idx="78">
                  <c:v>207.08806986185948</c:v>
                </c:pt>
                <c:pt idx="79">
                  <c:v>209.94441870043715</c:v>
                </c:pt>
                <c:pt idx="80">
                  <c:v>212.80076753901483</c:v>
                </c:pt>
                <c:pt idx="81">
                  <c:v>215.6571163775925</c:v>
                </c:pt>
                <c:pt idx="82">
                  <c:v>218.51346521617018</c:v>
                </c:pt>
                <c:pt idx="83">
                  <c:v>221.36981405474785</c:v>
                </c:pt>
                <c:pt idx="84">
                  <c:v>224.22616289332552</c:v>
                </c:pt>
                <c:pt idx="85">
                  <c:v>227.0825117319032</c:v>
                </c:pt>
                <c:pt idx="86">
                  <c:v>229.93886057048087</c:v>
                </c:pt>
                <c:pt idx="87">
                  <c:v>232.79520940905854</c:v>
                </c:pt>
                <c:pt idx="88">
                  <c:v>235.65155824763622</c:v>
                </c:pt>
                <c:pt idx="89">
                  <c:v>238.50790708621389</c:v>
                </c:pt>
                <c:pt idx="90">
                  <c:v>241.36425592479156</c:v>
                </c:pt>
                <c:pt idx="91">
                  <c:v>244.22060476336924</c:v>
                </c:pt>
                <c:pt idx="92">
                  <c:v>247.07695360194691</c:v>
                </c:pt>
                <c:pt idx="93">
                  <c:v>249.93330244052459</c:v>
                </c:pt>
                <c:pt idx="94">
                  <c:v>252.78965127910226</c:v>
                </c:pt>
                <c:pt idx="95">
                  <c:v>255.64600011767993</c:v>
                </c:pt>
                <c:pt idx="96">
                  <c:v>258.50234895625761</c:v>
                </c:pt>
                <c:pt idx="97">
                  <c:v>261.35869779483528</c:v>
                </c:pt>
                <c:pt idx="98">
                  <c:v>264.21504663341295</c:v>
                </c:pt>
                <c:pt idx="99">
                  <c:v>267.07139547199063</c:v>
                </c:pt>
                <c:pt idx="100">
                  <c:v>269.9277443105683</c:v>
                </c:pt>
                <c:pt idx="101">
                  <c:v>272.78409314914597</c:v>
                </c:pt>
                <c:pt idx="102">
                  <c:v>275.64044198772365</c:v>
                </c:pt>
                <c:pt idx="103">
                  <c:v>278.49679082630132</c:v>
                </c:pt>
                <c:pt idx="104">
                  <c:v>281.353139664879</c:v>
                </c:pt>
                <c:pt idx="105">
                  <c:v>284.20948850345667</c:v>
                </c:pt>
                <c:pt idx="106">
                  <c:v>287.06583734203434</c:v>
                </c:pt>
                <c:pt idx="107">
                  <c:v>289.92218618061202</c:v>
                </c:pt>
                <c:pt idx="108">
                  <c:v>292.77853501918969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92B2-4523-A96D-F2DE9CC86128}"/>
            </c:ext>
          </c:extLst>
        </c:ser>
        <c:ser>
          <c:idx val="2"/>
          <c:order val="7"/>
          <c:tx>
            <c:strRef>
              <c:f>'Weekly Throughput'!$K$4</c:f>
              <c:strCache>
                <c:ptCount val="1"/>
                <c:pt idx="0">
                  <c:v>Projected Throughput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Throughput'!$K$5:$K$113</c:f>
              <c:numCache>
                <c:formatCode>0.00</c:formatCode>
                <c:ptCount val="109"/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22</c:v>
                </c:pt>
                <c:pt idx="16">
                  <c:v>24</c:v>
                </c:pt>
                <c:pt idx="17">
                  <c:v>26</c:v>
                </c:pt>
                <c:pt idx="18">
                  <c:v>28</c:v>
                </c:pt>
                <c:pt idx="19">
                  <c:v>30</c:v>
                </c:pt>
                <c:pt idx="20">
                  <c:v>32</c:v>
                </c:pt>
                <c:pt idx="21">
                  <c:v>34</c:v>
                </c:pt>
                <c:pt idx="22">
                  <c:v>36</c:v>
                </c:pt>
                <c:pt idx="23">
                  <c:v>38</c:v>
                </c:pt>
                <c:pt idx="24">
                  <c:v>40</c:v>
                </c:pt>
                <c:pt idx="25">
                  <c:v>42</c:v>
                </c:pt>
                <c:pt idx="26">
                  <c:v>44</c:v>
                </c:pt>
                <c:pt idx="27">
                  <c:v>46</c:v>
                </c:pt>
                <c:pt idx="28">
                  <c:v>48</c:v>
                </c:pt>
                <c:pt idx="29">
                  <c:v>50</c:v>
                </c:pt>
                <c:pt idx="30">
                  <c:v>52</c:v>
                </c:pt>
                <c:pt idx="31">
                  <c:v>54</c:v>
                </c:pt>
                <c:pt idx="32">
                  <c:v>56</c:v>
                </c:pt>
                <c:pt idx="33">
                  <c:v>58</c:v>
                </c:pt>
                <c:pt idx="34">
                  <c:v>60</c:v>
                </c:pt>
                <c:pt idx="35">
                  <c:v>62</c:v>
                </c:pt>
                <c:pt idx="36">
                  <c:v>64</c:v>
                </c:pt>
                <c:pt idx="37">
                  <c:v>66</c:v>
                </c:pt>
                <c:pt idx="38">
                  <c:v>68</c:v>
                </c:pt>
                <c:pt idx="39">
                  <c:v>70</c:v>
                </c:pt>
                <c:pt idx="40">
                  <c:v>72</c:v>
                </c:pt>
                <c:pt idx="41">
                  <c:v>74</c:v>
                </c:pt>
                <c:pt idx="42">
                  <c:v>76</c:v>
                </c:pt>
                <c:pt idx="43">
                  <c:v>78</c:v>
                </c:pt>
                <c:pt idx="44">
                  <c:v>80</c:v>
                </c:pt>
                <c:pt idx="45">
                  <c:v>82</c:v>
                </c:pt>
                <c:pt idx="46">
                  <c:v>84</c:v>
                </c:pt>
                <c:pt idx="47">
                  <c:v>86</c:v>
                </c:pt>
                <c:pt idx="48">
                  <c:v>88</c:v>
                </c:pt>
                <c:pt idx="49">
                  <c:v>90</c:v>
                </c:pt>
                <c:pt idx="50">
                  <c:v>92</c:v>
                </c:pt>
                <c:pt idx="51">
                  <c:v>94</c:v>
                </c:pt>
                <c:pt idx="52">
                  <c:v>96</c:v>
                </c:pt>
                <c:pt idx="53">
                  <c:v>98</c:v>
                </c:pt>
                <c:pt idx="54">
                  <c:v>100</c:v>
                </c:pt>
                <c:pt idx="55">
                  <c:v>102</c:v>
                </c:pt>
                <c:pt idx="56">
                  <c:v>104</c:v>
                </c:pt>
                <c:pt idx="57">
                  <c:v>106</c:v>
                </c:pt>
                <c:pt idx="58">
                  <c:v>108</c:v>
                </c:pt>
                <c:pt idx="59">
                  <c:v>110</c:v>
                </c:pt>
                <c:pt idx="60">
                  <c:v>112</c:v>
                </c:pt>
                <c:pt idx="61">
                  <c:v>114</c:v>
                </c:pt>
                <c:pt idx="62">
                  <c:v>116</c:v>
                </c:pt>
                <c:pt idx="63">
                  <c:v>118</c:v>
                </c:pt>
                <c:pt idx="64">
                  <c:v>120</c:v>
                </c:pt>
                <c:pt idx="65">
                  <c:v>122</c:v>
                </c:pt>
                <c:pt idx="66">
                  <c:v>124</c:v>
                </c:pt>
                <c:pt idx="67">
                  <c:v>126</c:v>
                </c:pt>
                <c:pt idx="68">
                  <c:v>128</c:v>
                </c:pt>
                <c:pt idx="69">
                  <c:v>130</c:v>
                </c:pt>
                <c:pt idx="70">
                  <c:v>132</c:v>
                </c:pt>
                <c:pt idx="71">
                  <c:v>134</c:v>
                </c:pt>
                <c:pt idx="72">
                  <c:v>136</c:v>
                </c:pt>
                <c:pt idx="73">
                  <c:v>138</c:v>
                </c:pt>
                <c:pt idx="74">
                  <c:v>140</c:v>
                </c:pt>
                <c:pt idx="75">
                  <c:v>142</c:v>
                </c:pt>
                <c:pt idx="76">
                  <c:v>144</c:v>
                </c:pt>
                <c:pt idx="77">
                  <c:v>146</c:v>
                </c:pt>
                <c:pt idx="78">
                  <c:v>148</c:v>
                </c:pt>
                <c:pt idx="79">
                  <c:v>150</c:v>
                </c:pt>
                <c:pt idx="80">
                  <c:v>152</c:v>
                </c:pt>
                <c:pt idx="81">
                  <c:v>154</c:v>
                </c:pt>
                <c:pt idx="82">
                  <c:v>156</c:v>
                </c:pt>
                <c:pt idx="83">
                  <c:v>158</c:v>
                </c:pt>
                <c:pt idx="84">
                  <c:v>160</c:v>
                </c:pt>
                <c:pt idx="85">
                  <c:v>162</c:v>
                </c:pt>
                <c:pt idx="86">
                  <c:v>164</c:v>
                </c:pt>
                <c:pt idx="87">
                  <c:v>166</c:v>
                </c:pt>
                <c:pt idx="88">
                  <c:v>168</c:v>
                </c:pt>
                <c:pt idx="89">
                  <c:v>170</c:v>
                </c:pt>
                <c:pt idx="90">
                  <c:v>172</c:v>
                </c:pt>
                <c:pt idx="91">
                  <c:v>174</c:v>
                </c:pt>
                <c:pt idx="92">
                  <c:v>176</c:v>
                </c:pt>
                <c:pt idx="93">
                  <c:v>178</c:v>
                </c:pt>
                <c:pt idx="94">
                  <c:v>180</c:v>
                </c:pt>
                <c:pt idx="95">
                  <c:v>182</c:v>
                </c:pt>
                <c:pt idx="96">
                  <c:v>184</c:v>
                </c:pt>
                <c:pt idx="97">
                  <c:v>186</c:v>
                </c:pt>
                <c:pt idx="98">
                  <c:v>188</c:v>
                </c:pt>
                <c:pt idx="99">
                  <c:v>190</c:v>
                </c:pt>
                <c:pt idx="100">
                  <c:v>192</c:v>
                </c:pt>
                <c:pt idx="101">
                  <c:v>194</c:v>
                </c:pt>
                <c:pt idx="102">
                  <c:v>196</c:v>
                </c:pt>
                <c:pt idx="103">
                  <c:v>198</c:v>
                </c:pt>
                <c:pt idx="104">
                  <c:v>200</c:v>
                </c:pt>
                <c:pt idx="105">
                  <c:v>202</c:v>
                </c:pt>
                <c:pt idx="106">
                  <c:v>204</c:v>
                </c:pt>
                <c:pt idx="107">
                  <c:v>206</c:v>
                </c:pt>
                <c:pt idx="108">
                  <c:v>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92B2-4523-A96D-F2DE9CC8612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1088256"/>
        <c:axId val="181089792"/>
      </c:lineChart>
      <c:dateAx>
        <c:axId val="181088256"/>
        <c:scaling>
          <c:orientation val="minMax"/>
          <c:max val="44475"/>
          <c:min val="43714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5400000" vert="horz"/>
          <a:lstStyle/>
          <a:p>
            <a:pPr>
              <a:defRPr sz="800"/>
            </a:pPr>
            <a:endParaRPr lang="en-US"/>
          </a:p>
        </c:txPr>
        <c:crossAx val="181089792"/>
        <c:crosses val="autoZero"/>
        <c:auto val="0"/>
        <c:lblOffset val="100"/>
        <c:baseTimeUnit val="days"/>
        <c:majorUnit val="7"/>
        <c:majorTimeUnit val="days"/>
      </c:dateAx>
      <c:valAx>
        <c:axId val="181089792"/>
        <c:scaling>
          <c:orientation val="minMax"/>
          <c:max val="1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Scope</a:t>
                </a:r>
              </a:p>
            </c:rich>
          </c:tx>
          <c:layout>
            <c:manualLayout>
              <c:xMode val="edge"/>
              <c:yMode val="edge"/>
              <c:x val="9.3261935324683715E-3"/>
              <c:y val="0.43244222805482646"/>
            </c:manualLayout>
          </c:layout>
          <c:overlay val="0"/>
        </c:title>
        <c:numFmt formatCode="General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  <a:effectLst>
            <a:outerShdw blurRad="50800" dist="50800" dir="5400000" algn="ctr" rotWithShape="0">
              <a:schemeClr val="bg1"/>
            </a:outerShdw>
          </a:effectLst>
        </c:spPr>
        <c:txPr>
          <a:bodyPr anchor="b" anchorCtr="1"/>
          <a:lstStyle/>
          <a:p>
            <a:pPr>
              <a:defRPr baseline="0">
                <a:solidFill>
                  <a:schemeClr val="tx1"/>
                </a:solidFill>
              </a:defRPr>
            </a:pPr>
            <a:endParaRPr lang="en-US"/>
          </a:p>
        </c:txPr>
        <c:crossAx val="181088256"/>
        <c:crossesAt val="43714"/>
        <c:crossBetween val="between"/>
      </c:valAx>
    </c:plotArea>
    <c:legend>
      <c:legendPos val="b"/>
      <c:layout>
        <c:manualLayout>
          <c:xMode val="edge"/>
          <c:yMode val="edge"/>
          <c:x val="0.11625429397638286"/>
          <c:y val="0.90125204803944958"/>
          <c:w val="0.84901982728629832"/>
          <c:h val="2.6753249839587441E-2"/>
        </c:manualLayout>
      </c:layout>
      <c:overlay val="0"/>
      <c:spPr>
        <a:ln w="3175"/>
      </c:spPr>
    </c:legend>
    <c:plotVisOnly val="1"/>
    <c:dispBlanksAs val="gap"/>
    <c:showDLblsOverMax val="0"/>
  </c:chart>
  <c:spPr>
    <a:noFill/>
    <a:ln w="0">
      <a:solidFill>
        <a:sysClr val="windowText" lastClr="000000">
          <a:tint val="75000"/>
          <a:shade val="95000"/>
          <a:satMod val="105000"/>
        </a:sysClr>
      </a:solidFill>
    </a:ln>
    <a:effectLst>
      <a:outerShdw blurRad="50800" dist="50800" dir="5400000" algn="ctr" rotWithShape="0">
        <a:schemeClr val="tx1"/>
      </a:outerShdw>
    </a:effectLst>
  </c:spPr>
  <c:printSettings>
    <c:headerFooter/>
    <c:pageMargins b="0.75" l="0.7" r="0.7" t="0.75" header="0.3" footer="0.3"/>
    <c:pageSetup/>
  </c:printSettings>
  <c:userShapes r:id="rId1"/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1"/>
  <sheetViews>
    <sheetView zoomScale="280" workbookViewId="0"/>
  </sheetViews>
  <pageMargins left="0.25" right="0.25" top="0.75" bottom="0.75" header="0.3" footer="0.3"/>
  <pageSetup paperSize="3" orientation="landscape" r:id="rId1"/>
  <headerFooter>
    <oddFooter>&amp;R&amp;F</oddFooter>
  </headerFooter>
  <drawing r:id="rId2"/>
  <legacyDrawing r:id="rId3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4914900" cy="21844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0.68597</cdr:x>
      <cdr:y>0.54794</cdr:y>
    </cdr:from>
    <cdr:to>
      <cdr:x>0.81717</cdr:x>
      <cdr:y>0.5877</cdr:y>
    </cdr:to>
    <cdr:sp macro="" textlink="">
      <cdr:nvSpPr>
        <cdr:cNvPr id="27" name="TextBox 26">
          <a:extLst xmlns:a="http://schemas.openxmlformats.org/drawingml/2006/main">
            <a:ext uri="{FF2B5EF4-FFF2-40B4-BE49-F238E27FC236}">
              <a16:creationId xmlns:a16="http://schemas.microsoft.com/office/drawing/2014/main" id="{9EFBFA05-26E6-4070-A4EC-6FD98994439A}"/>
            </a:ext>
          </a:extLst>
        </cdr:cNvPr>
        <cdr:cNvSpPr txBox="1"/>
      </cdr:nvSpPr>
      <cdr:spPr>
        <a:xfrm xmlns:a="http://schemas.openxmlformats.org/drawingml/2006/main">
          <a:off x="10275325" y="4697227"/>
          <a:ext cx="1965286" cy="340843"/>
        </a:xfrm>
        <a:prstGeom xmlns:a="http://schemas.openxmlformats.org/drawingml/2006/main" prst="rect">
          <a:avLst/>
        </a:prstGeom>
        <a:solidFill xmlns:a="http://schemas.openxmlformats.org/drawingml/2006/main">
          <a:srgbClr val="00FFFF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Pessimistic: 12/18/2020</a:t>
          </a:r>
        </a:p>
      </cdr:txBody>
    </cdr:sp>
  </cdr:relSizeAnchor>
  <cdr:relSizeAnchor xmlns:cdr="http://schemas.openxmlformats.org/drawingml/2006/chartDrawing">
    <cdr:from>
      <cdr:x>0</cdr:x>
      <cdr:y>0.0091</cdr:y>
    </cdr:from>
    <cdr:to>
      <cdr:x>0.7888</cdr:x>
      <cdr:y>0.09445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DBF062F-FE86-4343-8E10-36C61DD1A602}"/>
            </a:ext>
          </a:extLst>
        </cdr:cNvPr>
        <cdr:cNvSpPr txBox="1"/>
      </cdr:nvSpPr>
      <cdr:spPr>
        <a:xfrm xmlns:a="http://schemas.openxmlformats.org/drawingml/2006/main">
          <a:off x="0" y="77972"/>
          <a:ext cx="11811000" cy="731663"/>
        </a:xfrm>
        <a:prstGeom xmlns:a="http://schemas.openxmlformats.org/drawingml/2006/main" prst="rect">
          <a:avLst/>
        </a:prstGeom>
        <a:solidFill xmlns:a="http://schemas.openxmlformats.org/drawingml/2006/main">
          <a:srgbClr val="00FFFF"/>
        </a:solidFill>
      </cdr:spPr>
      <cdr:txBody>
        <a:bodyPr xmlns:a="http://schemas.openxmlformats.org/drawingml/2006/main" vertOverflow="clip" wrap="square" rtlCol="0" anchor="ctr" anchorCtr="0"/>
        <a:lstStyle xmlns:a="http://schemas.openxmlformats.org/drawingml/2006/main"/>
        <a:p xmlns:a="http://schemas.openxmlformats.org/drawingml/2006/main">
          <a:pPr algn="ctr"/>
          <a:r>
            <a:rPr lang="en-US" sz="2000" b="1" i="0" baseline="0">
              <a:effectLst/>
              <a:latin typeface="+mn-lt"/>
              <a:ea typeface="+mn-ea"/>
              <a:cs typeface="+mn-cs"/>
            </a:rPr>
            <a:t>                NASA GRC  -  GWIP Phase 2</a:t>
          </a:r>
          <a:endParaRPr lang="en-US" sz="3600">
            <a:effectLst/>
          </a:endParaRPr>
        </a:p>
        <a:p xmlns:a="http://schemas.openxmlformats.org/drawingml/2006/main">
          <a:pPr algn="ctr"/>
          <a:r>
            <a:rPr lang="en-US" sz="2000" b="1" i="0" baseline="0">
              <a:effectLst/>
              <a:latin typeface="+mn-lt"/>
              <a:ea typeface="+mn-ea"/>
              <a:cs typeface="+mn-cs"/>
            </a:rPr>
            <a:t>                (Randomized Simulation)</a:t>
          </a:r>
          <a:endParaRPr lang="en-US" sz="3600">
            <a:effectLst/>
          </a:endParaRPr>
        </a:p>
      </cdr:txBody>
    </cdr:sp>
  </cdr:relSizeAnchor>
  <cdr:relSizeAnchor xmlns:cdr="http://schemas.openxmlformats.org/drawingml/2006/chartDrawing">
    <cdr:from>
      <cdr:x>0.54547</cdr:x>
      <cdr:y>0.28467</cdr:y>
    </cdr:from>
    <cdr:to>
      <cdr:x>0.67494</cdr:x>
      <cdr:y>0.34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7DBC099-575F-422B-9E73-271404C8598E}"/>
            </a:ext>
          </a:extLst>
        </cdr:cNvPr>
        <cdr:cNvSpPr txBox="1"/>
      </cdr:nvSpPr>
      <cdr:spPr>
        <a:xfrm xmlns:a="http://schemas.openxmlformats.org/drawingml/2006/main">
          <a:off x="8167426" y="2440372"/>
          <a:ext cx="1938599" cy="474278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4-Week Throughput Average: 0</a:t>
          </a:r>
        </a:p>
      </cdr:txBody>
    </cdr:sp>
  </cdr:relSizeAnchor>
  <cdr:relSizeAnchor xmlns:cdr="http://schemas.openxmlformats.org/drawingml/2006/chartDrawing">
    <cdr:from>
      <cdr:x>0.5458</cdr:x>
      <cdr:y>0.36556</cdr:y>
    </cdr:from>
    <cdr:to>
      <cdr:x>0.67557</cdr:x>
      <cdr:y>0.41333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77FE6D73-DDE4-4FE6-BA08-BA63CE64145B}"/>
            </a:ext>
          </a:extLst>
        </cdr:cNvPr>
        <cdr:cNvSpPr txBox="1"/>
      </cdr:nvSpPr>
      <cdr:spPr>
        <a:xfrm xmlns:a="http://schemas.openxmlformats.org/drawingml/2006/main">
          <a:off x="8172451" y="3133725"/>
          <a:ext cx="1943100" cy="409576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0</a:t>
          </a:r>
        </a:p>
      </cdr:txBody>
    </cdr:sp>
  </cdr:relSizeAnchor>
  <cdr:relSizeAnchor xmlns:cdr="http://schemas.openxmlformats.org/drawingml/2006/chartDrawing">
    <cdr:from>
      <cdr:x>0.54522</cdr:x>
      <cdr:y>0.42997</cdr:y>
    </cdr:from>
    <cdr:to>
      <cdr:x>0.67748</cdr:x>
      <cdr:y>0.48889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C1557738-68AE-45D0-BDA5-EC3AB3FD2449}"/>
            </a:ext>
          </a:extLst>
        </cdr:cNvPr>
        <cdr:cNvSpPr txBox="1"/>
      </cdr:nvSpPr>
      <cdr:spPr>
        <a:xfrm xmlns:a="http://schemas.openxmlformats.org/drawingml/2006/main">
          <a:off x="8163753" y="3685918"/>
          <a:ext cx="1980371" cy="505082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4-Week Throughput Average at 09/06/19 : 0</a:t>
          </a:r>
        </a:p>
      </cdr:txBody>
    </cdr:sp>
  </cdr:relSizeAnchor>
  <cdr:relSizeAnchor xmlns:cdr="http://schemas.openxmlformats.org/drawingml/2006/chartDrawing">
    <cdr:from>
      <cdr:x>0.79248</cdr:x>
      <cdr:y>0.00741</cdr:y>
    </cdr:from>
    <cdr:to>
      <cdr:x>0.88126</cdr:x>
      <cdr:y>0.09185</cdr:y>
    </cdr:to>
    <cdr:sp macro="" textlink="">
      <cdr:nvSpPr>
        <cdr:cNvPr id="21" name="TextBox 20">
          <a:extLst xmlns:a="http://schemas.openxmlformats.org/drawingml/2006/main">
            <a:ext uri="{FF2B5EF4-FFF2-40B4-BE49-F238E27FC236}">
              <a16:creationId xmlns:a16="http://schemas.microsoft.com/office/drawing/2014/main" id="{CD04F881-4BE4-4FE5-B7B2-99C26675EE7A}"/>
            </a:ext>
          </a:extLst>
        </cdr:cNvPr>
        <cdr:cNvSpPr txBox="1"/>
      </cdr:nvSpPr>
      <cdr:spPr>
        <a:xfrm xmlns:a="http://schemas.openxmlformats.org/drawingml/2006/main">
          <a:off x="11865979" y="63500"/>
          <a:ext cx="1329330" cy="723899"/>
        </a:xfrm>
        <a:prstGeom xmlns:a="http://schemas.openxmlformats.org/drawingml/2006/main" prst="rect">
          <a:avLst/>
        </a:prstGeom>
        <a:solidFill xmlns:a="http://schemas.openxmlformats.org/drawingml/2006/main">
          <a:srgbClr val="00FFFF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/>
            <a:t>Target Date 10/1/2021</a:t>
          </a:r>
        </a:p>
      </cdr:txBody>
    </cdr:sp>
  </cdr:relSizeAnchor>
  <cdr:relSizeAnchor xmlns:cdr="http://schemas.openxmlformats.org/drawingml/2006/chartDrawing">
    <cdr:from>
      <cdr:x>0.68503</cdr:x>
      <cdr:y>0.43836</cdr:y>
    </cdr:from>
    <cdr:to>
      <cdr:x>0.78833</cdr:x>
      <cdr:y>0.47032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195ADB03-F893-4B3E-8EEA-29E489AA5CF9}"/>
            </a:ext>
          </a:extLst>
        </cdr:cNvPr>
        <cdr:cNvSpPr txBox="1"/>
      </cdr:nvSpPr>
      <cdr:spPr>
        <a:xfrm xmlns:a="http://schemas.openxmlformats.org/drawingml/2006/main">
          <a:off x="10261259" y="3757865"/>
          <a:ext cx="1547363" cy="273977"/>
        </a:xfrm>
        <a:prstGeom xmlns:a="http://schemas.openxmlformats.org/drawingml/2006/main" prst="rect">
          <a:avLst/>
        </a:prstGeom>
        <a:solidFill xmlns:a="http://schemas.openxmlformats.org/drawingml/2006/main">
          <a:srgbClr val="00FFFF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Projected: 7/17/2020</a:t>
          </a:r>
        </a:p>
      </cdr:txBody>
    </cdr:sp>
  </cdr:relSizeAnchor>
  <cdr:relSizeAnchor xmlns:cdr="http://schemas.openxmlformats.org/drawingml/2006/chartDrawing">
    <cdr:from>
      <cdr:x>0.70823</cdr:x>
      <cdr:y>0.3167</cdr:y>
    </cdr:from>
    <cdr:to>
      <cdr:x>0.79967</cdr:x>
      <cdr:y>0.35123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19CA7099-FBFE-4831-B14C-6ADA58CEA44D}"/>
            </a:ext>
          </a:extLst>
        </cdr:cNvPr>
        <cdr:cNvSpPr txBox="1"/>
      </cdr:nvSpPr>
      <cdr:spPr>
        <a:xfrm xmlns:a="http://schemas.openxmlformats.org/drawingml/2006/main">
          <a:off x="10608826" y="2714924"/>
          <a:ext cx="1369708" cy="296009"/>
        </a:xfrm>
        <a:prstGeom xmlns:a="http://schemas.openxmlformats.org/drawingml/2006/main" prst="rect">
          <a:avLst/>
        </a:prstGeom>
        <a:solidFill xmlns:a="http://schemas.openxmlformats.org/drawingml/2006/main">
          <a:srgbClr val="00FFFF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Optimistic: 5/8/2020</a:t>
          </a:r>
        </a:p>
      </cdr:txBody>
    </cdr:sp>
  </cdr:relSizeAnchor>
  <cdr:relSizeAnchor xmlns:cdr="http://schemas.openxmlformats.org/drawingml/2006/chartDrawing">
    <cdr:from>
      <cdr:x>0.54762</cdr:x>
      <cdr:y>0.49778</cdr:y>
    </cdr:from>
    <cdr:to>
      <cdr:x>0.67875</cdr:x>
      <cdr:y>0.54778</cdr:y>
    </cdr:to>
    <cdr:sp macro="" textlink="">
      <cdr:nvSpPr>
        <cdr:cNvPr id="14" name="TextBox 13">
          <a:extLst xmlns:a="http://schemas.openxmlformats.org/drawingml/2006/main">
            <a:ext uri="{FF2B5EF4-FFF2-40B4-BE49-F238E27FC236}">
              <a16:creationId xmlns:a16="http://schemas.microsoft.com/office/drawing/2014/main" id="{853C558D-189E-43B3-AC23-9DDE7CB36D09}"/>
            </a:ext>
          </a:extLst>
        </cdr:cNvPr>
        <cdr:cNvSpPr txBox="1"/>
      </cdr:nvSpPr>
      <cdr:spPr>
        <a:xfrm xmlns:a="http://schemas.openxmlformats.org/drawingml/2006/main">
          <a:off x="8199718" y="4267199"/>
          <a:ext cx="1963457" cy="428626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0</a:t>
          </a:r>
        </a:p>
      </cdr:txBody>
    </cdr:sp>
  </cdr:relSizeAnchor>
  <cdr:relSizeAnchor xmlns:cdr="http://schemas.openxmlformats.org/drawingml/2006/chartDrawing">
    <cdr:from>
      <cdr:x>0.68588</cdr:x>
      <cdr:y>0.52575</cdr:y>
    </cdr:from>
    <cdr:to>
      <cdr:x>0.69016</cdr:x>
      <cdr:y>0.54893</cdr:y>
    </cdr:to>
    <cdr:cxnSp macro="">
      <cdr:nvCxnSpPr>
        <cdr:cNvPr id="18" name="Straight Arrow Connector 17">
          <a:extLst xmlns:a="http://schemas.openxmlformats.org/drawingml/2006/main">
            <a:ext uri="{FF2B5EF4-FFF2-40B4-BE49-F238E27FC236}">
              <a16:creationId xmlns:a16="http://schemas.microsoft.com/office/drawing/2014/main" id="{BD99A0B4-0680-4101-A1DE-423853C87008}"/>
            </a:ext>
          </a:extLst>
        </cdr:cNvPr>
        <cdr:cNvCxnSpPr/>
      </cdr:nvCxnSpPr>
      <cdr:spPr>
        <a:xfrm xmlns:a="http://schemas.openxmlformats.org/drawingml/2006/main" flipV="1">
          <a:off x="10274042" y="4506951"/>
          <a:ext cx="64068" cy="198722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0.54707</cdr:x>
      <cdr:y>0.63111</cdr:y>
    </cdr:from>
    <cdr:to>
      <cdr:x>0.68066</cdr:x>
      <cdr:y>0.68</cdr:y>
    </cdr:to>
    <cdr:sp macro="" textlink="">
      <cdr:nvSpPr>
        <cdr:cNvPr id="22" name="TextBox 21">
          <a:extLst xmlns:a="http://schemas.openxmlformats.org/drawingml/2006/main">
            <a:ext uri="{FF2B5EF4-FFF2-40B4-BE49-F238E27FC236}">
              <a16:creationId xmlns:a16="http://schemas.microsoft.com/office/drawing/2014/main" id="{D51A15BC-12F4-400A-AB55-B4F270C02F5A}"/>
            </a:ext>
          </a:extLst>
        </cdr:cNvPr>
        <cdr:cNvSpPr txBox="1"/>
      </cdr:nvSpPr>
      <cdr:spPr>
        <a:xfrm xmlns:a="http://schemas.openxmlformats.org/drawingml/2006/main">
          <a:off x="8191500" y="5410200"/>
          <a:ext cx="2000249" cy="419100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% Scope Complete at 09/06/19 : 00.0%</a:t>
          </a:r>
        </a:p>
      </cdr:txBody>
    </cdr:sp>
  </cdr:relSizeAnchor>
  <cdr:relSizeAnchor xmlns:cdr="http://schemas.openxmlformats.org/drawingml/2006/chartDrawing">
    <cdr:from>
      <cdr:x>0.53539</cdr:x>
      <cdr:y>0.02506</cdr:y>
    </cdr:from>
    <cdr:to>
      <cdr:x>0.61122</cdr:x>
      <cdr:y>0.08428</cdr:y>
    </cdr:to>
    <cdr:sp macro="" textlink="">
      <cdr:nvSpPr>
        <cdr:cNvPr id="24" name="TextBox 23">
          <a:extLst xmlns:a="http://schemas.openxmlformats.org/drawingml/2006/main">
            <a:ext uri="{FF2B5EF4-FFF2-40B4-BE49-F238E27FC236}">
              <a16:creationId xmlns:a16="http://schemas.microsoft.com/office/drawing/2014/main" id="{CEAABAAA-197D-4316-8398-5D60733F3EBD}"/>
            </a:ext>
          </a:extLst>
        </cdr:cNvPr>
        <cdr:cNvSpPr txBox="1"/>
      </cdr:nvSpPr>
      <cdr:spPr>
        <a:xfrm xmlns:a="http://schemas.openxmlformats.org/drawingml/2006/main">
          <a:off x="8018124" y="214949"/>
          <a:ext cx="1135645" cy="507953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2800"/>
            <a:t>1</a:t>
          </a:r>
        </a:p>
      </cdr:txBody>
    </cdr:sp>
  </cdr:relSizeAnchor>
  <cdr:relSizeAnchor xmlns:cdr="http://schemas.openxmlformats.org/drawingml/2006/chartDrawing">
    <cdr:from>
      <cdr:x>0.54736</cdr:x>
      <cdr:y>0.69</cdr:y>
    </cdr:from>
    <cdr:to>
      <cdr:x>0.67939</cdr:x>
      <cdr:y>0.75667</cdr:y>
    </cdr:to>
    <cdr:sp macro="" textlink="">
      <cdr:nvSpPr>
        <cdr:cNvPr id="25" name="TextBox 24">
          <a:extLst xmlns:a="http://schemas.openxmlformats.org/drawingml/2006/main">
            <a:ext uri="{FF2B5EF4-FFF2-40B4-BE49-F238E27FC236}">
              <a16:creationId xmlns:a16="http://schemas.microsoft.com/office/drawing/2014/main" id="{EA49D5B9-55E6-402F-B92D-B59550348EDF}"/>
            </a:ext>
          </a:extLst>
        </cdr:cNvPr>
        <cdr:cNvSpPr txBox="1"/>
      </cdr:nvSpPr>
      <cdr:spPr>
        <a:xfrm xmlns:a="http://schemas.openxmlformats.org/drawingml/2006/main">
          <a:off x="8195757" y="5915025"/>
          <a:ext cx="1976943" cy="571499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chemeClr val="tx2">
              <a:lumMod val="60000"/>
              <a:lumOff val="40000"/>
            </a:schemeClr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>
              <a:effectLst/>
              <a:latin typeface="+mn-lt"/>
              <a:ea typeface="+mn-ea"/>
              <a:cs typeface="+mn-cs"/>
            </a:rPr>
            <a:t>4-week Average Growth : 0</a:t>
          </a:r>
          <a:endParaRPr lang="en-US" sz="1100"/>
        </a:p>
      </cdr:txBody>
    </cdr:sp>
  </cdr:relSizeAnchor>
  <cdr:relSizeAnchor xmlns:cdr="http://schemas.openxmlformats.org/drawingml/2006/chartDrawing">
    <cdr:from>
      <cdr:x>0.74423</cdr:x>
      <cdr:y>0.48178</cdr:y>
    </cdr:from>
    <cdr:to>
      <cdr:x>0.78089</cdr:x>
      <cdr:y>0.50949</cdr:y>
    </cdr:to>
    <cdr:cxnSp macro="">
      <cdr:nvCxnSpPr>
        <cdr:cNvPr id="23" name="Straight Arrow Connector 22">
          <a:extLst xmlns:a="http://schemas.openxmlformats.org/drawingml/2006/main">
            <a:ext uri="{FF2B5EF4-FFF2-40B4-BE49-F238E27FC236}">
              <a16:creationId xmlns:a16="http://schemas.microsoft.com/office/drawing/2014/main" id="{2FBD2AAD-503A-49E7-8D7B-47EFDD0DCF82}"/>
            </a:ext>
          </a:extLst>
        </cdr:cNvPr>
        <cdr:cNvCxnSpPr/>
      </cdr:nvCxnSpPr>
      <cdr:spPr>
        <a:xfrm xmlns:a="http://schemas.openxmlformats.org/drawingml/2006/main">
          <a:off x="11147984" y="4130083"/>
          <a:ext cx="549180" cy="237478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0.75395</cdr:x>
      <cdr:y>0.35123</cdr:y>
    </cdr:from>
    <cdr:to>
      <cdr:x>0.76538</cdr:x>
      <cdr:y>0.36179</cdr:y>
    </cdr:to>
    <cdr:cxnSp macro="">
      <cdr:nvCxnSpPr>
        <cdr:cNvPr id="26" name="Straight Arrow Connector 25">
          <a:extLst xmlns:a="http://schemas.openxmlformats.org/drawingml/2006/main">
            <a:ext uri="{FF2B5EF4-FFF2-40B4-BE49-F238E27FC236}">
              <a16:creationId xmlns:a16="http://schemas.microsoft.com/office/drawing/2014/main" id="{A5EB2648-E31A-4ACA-9E1A-98691DB8B420}"/>
            </a:ext>
          </a:extLst>
        </cdr:cNvPr>
        <cdr:cNvCxnSpPr>
          <a:stCxn xmlns:a="http://schemas.openxmlformats.org/drawingml/2006/main" id="9" idx="2"/>
        </cdr:cNvCxnSpPr>
      </cdr:nvCxnSpPr>
      <cdr:spPr>
        <a:xfrm xmlns:a="http://schemas.openxmlformats.org/drawingml/2006/main">
          <a:off x="11293680" y="3010933"/>
          <a:ext cx="171168" cy="90500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0.68186</cdr:x>
      <cdr:y>0.25091</cdr:y>
    </cdr:from>
    <cdr:to>
      <cdr:x>0.91465</cdr:x>
      <cdr:y>0.71941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A7DD3531-64BD-4343-B257-31124FDDF0A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211665" y="2152168"/>
          <a:ext cx="3486316" cy="401850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0.54707</cdr:x>
      <cdr:y>0.56556</cdr:y>
    </cdr:from>
    <cdr:to>
      <cdr:x>0.67748</cdr:x>
      <cdr:y>0.62333</cdr:y>
    </cdr:to>
    <cdr:sp macro="" textlink="">
      <cdr:nvSpPr>
        <cdr:cNvPr id="19" name="TextBox 18">
          <a:extLst xmlns:a="http://schemas.openxmlformats.org/drawingml/2006/main">
            <a:ext uri="{FF2B5EF4-FFF2-40B4-BE49-F238E27FC236}">
              <a16:creationId xmlns:a16="http://schemas.microsoft.com/office/drawing/2014/main" id="{9125596E-C79D-45D2-9A4B-6D2E63061BB7}"/>
            </a:ext>
          </a:extLst>
        </cdr:cNvPr>
        <cdr:cNvSpPr txBox="1"/>
      </cdr:nvSpPr>
      <cdr:spPr>
        <a:xfrm xmlns:a="http://schemas.openxmlformats.org/drawingml/2006/main">
          <a:off x="8191500" y="4848226"/>
          <a:ext cx="1952625" cy="495300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4-Week Throughput Average at 09/06/19 : 0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609600" y="317500"/>
    <xdr:ext cx="11449050" cy="657225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8F659E7-81C3-4CFB-9715-36C6E13AFAF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0.68597</cdr:x>
      <cdr:y>0.54794</cdr:y>
    </cdr:from>
    <cdr:to>
      <cdr:x>0.81717</cdr:x>
      <cdr:y>0.5877</cdr:y>
    </cdr:to>
    <cdr:sp macro="" textlink="">
      <cdr:nvSpPr>
        <cdr:cNvPr id="27" name="TextBox 26">
          <a:extLst xmlns:a="http://schemas.openxmlformats.org/drawingml/2006/main">
            <a:ext uri="{FF2B5EF4-FFF2-40B4-BE49-F238E27FC236}">
              <a16:creationId xmlns:a16="http://schemas.microsoft.com/office/drawing/2014/main" id="{9EFBFA05-26E6-4070-A4EC-6FD98994439A}"/>
            </a:ext>
          </a:extLst>
        </cdr:cNvPr>
        <cdr:cNvSpPr txBox="1"/>
      </cdr:nvSpPr>
      <cdr:spPr>
        <a:xfrm xmlns:a="http://schemas.openxmlformats.org/drawingml/2006/main">
          <a:off x="10275325" y="4697227"/>
          <a:ext cx="1965286" cy="340843"/>
        </a:xfrm>
        <a:prstGeom xmlns:a="http://schemas.openxmlformats.org/drawingml/2006/main" prst="rect">
          <a:avLst/>
        </a:prstGeom>
        <a:solidFill xmlns:a="http://schemas.openxmlformats.org/drawingml/2006/main">
          <a:srgbClr val="00FFFF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Pessimistic: 12/18/2020</a:t>
          </a:r>
        </a:p>
      </cdr:txBody>
    </cdr:sp>
  </cdr:relSizeAnchor>
  <cdr:relSizeAnchor xmlns:cdr="http://schemas.openxmlformats.org/drawingml/2006/chartDrawing">
    <cdr:from>
      <cdr:x>0</cdr:x>
      <cdr:y>0.0091</cdr:y>
    </cdr:from>
    <cdr:to>
      <cdr:x>0.7888</cdr:x>
      <cdr:y>0.09445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DBF062F-FE86-4343-8E10-36C61DD1A602}"/>
            </a:ext>
          </a:extLst>
        </cdr:cNvPr>
        <cdr:cNvSpPr txBox="1"/>
      </cdr:nvSpPr>
      <cdr:spPr>
        <a:xfrm xmlns:a="http://schemas.openxmlformats.org/drawingml/2006/main">
          <a:off x="0" y="77972"/>
          <a:ext cx="11811000" cy="731663"/>
        </a:xfrm>
        <a:prstGeom xmlns:a="http://schemas.openxmlformats.org/drawingml/2006/main" prst="rect">
          <a:avLst/>
        </a:prstGeom>
        <a:solidFill xmlns:a="http://schemas.openxmlformats.org/drawingml/2006/main">
          <a:srgbClr val="00FFFF"/>
        </a:solidFill>
      </cdr:spPr>
      <cdr:txBody>
        <a:bodyPr xmlns:a="http://schemas.openxmlformats.org/drawingml/2006/main" vertOverflow="clip" wrap="square" rtlCol="0" anchor="ctr" anchorCtr="0"/>
        <a:lstStyle xmlns:a="http://schemas.openxmlformats.org/drawingml/2006/main"/>
        <a:p xmlns:a="http://schemas.openxmlformats.org/drawingml/2006/main">
          <a:pPr algn="ctr"/>
          <a:r>
            <a:rPr lang="en-US" sz="2000" b="1" i="0" baseline="0">
              <a:effectLst/>
              <a:latin typeface="+mn-lt"/>
              <a:ea typeface="+mn-ea"/>
              <a:cs typeface="+mn-cs"/>
            </a:rPr>
            <a:t>                NASA GRC  -  GWIP Phase 2</a:t>
          </a:r>
          <a:endParaRPr lang="en-US" sz="3600">
            <a:effectLst/>
          </a:endParaRPr>
        </a:p>
        <a:p xmlns:a="http://schemas.openxmlformats.org/drawingml/2006/main">
          <a:pPr algn="ctr"/>
          <a:r>
            <a:rPr lang="en-US" sz="2000" b="1" i="0" baseline="0">
              <a:effectLst/>
              <a:latin typeface="+mn-lt"/>
              <a:ea typeface="+mn-ea"/>
              <a:cs typeface="+mn-cs"/>
            </a:rPr>
            <a:t>                (Randomized Simulation)</a:t>
          </a:r>
          <a:endParaRPr lang="en-US" sz="3600">
            <a:effectLst/>
          </a:endParaRPr>
        </a:p>
      </cdr:txBody>
    </cdr:sp>
  </cdr:relSizeAnchor>
  <cdr:relSizeAnchor xmlns:cdr="http://schemas.openxmlformats.org/drawingml/2006/chartDrawing">
    <cdr:from>
      <cdr:x>0.54547</cdr:x>
      <cdr:y>0.28467</cdr:y>
    </cdr:from>
    <cdr:to>
      <cdr:x>0.67494</cdr:x>
      <cdr:y>0.34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7DBC099-575F-422B-9E73-271404C8598E}"/>
            </a:ext>
          </a:extLst>
        </cdr:cNvPr>
        <cdr:cNvSpPr txBox="1"/>
      </cdr:nvSpPr>
      <cdr:spPr>
        <a:xfrm xmlns:a="http://schemas.openxmlformats.org/drawingml/2006/main">
          <a:off x="8167426" y="2440372"/>
          <a:ext cx="1938599" cy="474278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4-Week Throughput Average: 0</a:t>
          </a:r>
        </a:p>
      </cdr:txBody>
    </cdr:sp>
  </cdr:relSizeAnchor>
  <cdr:relSizeAnchor xmlns:cdr="http://schemas.openxmlformats.org/drawingml/2006/chartDrawing">
    <cdr:from>
      <cdr:x>0.5458</cdr:x>
      <cdr:y>0.36556</cdr:y>
    </cdr:from>
    <cdr:to>
      <cdr:x>0.67557</cdr:x>
      <cdr:y>0.41333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77FE6D73-DDE4-4FE6-BA08-BA63CE64145B}"/>
            </a:ext>
          </a:extLst>
        </cdr:cNvPr>
        <cdr:cNvSpPr txBox="1"/>
      </cdr:nvSpPr>
      <cdr:spPr>
        <a:xfrm xmlns:a="http://schemas.openxmlformats.org/drawingml/2006/main">
          <a:off x="8172451" y="3133725"/>
          <a:ext cx="1943100" cy="409576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0</a:t>
          </a:r>
        </a:p>
      </cdr:txBody>
    </cdr:sp>
  </cdr:relSizeAnchor>
  <cdr:relSizeAnchor xmlns:cdr="http://schemas.openxmlformats.org/drawingml/2006/chartDrawing">
    <cdr:from>
      <cdr:x>0.54522</cdr:x>
      <cdr:y>0.42997</cdr:y>
    </cdr:from>
    <cdr:to>
      <cdr:x>0.67748</cdr:x>
      <cdr:y>0.48889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C1557738-68AE-45D0-BDA5-EC3AB3FD2449}"/>
            </a:ext>
          </a:extLst>
        </cdr:cNvPr>
        <cdr:cNvSpPr txBox="1"/>
      </cdr:nvSpPr>
      <cdr:spPr>
        <a:xfrm xmlns:a="http://schemas.openxmlformats.org/drawingml/2006/main">
          <a:off x="8163753" y="3685918"/>
          <a:ext cx="1980371" cy="505082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4-Week Throughput Average at 09/06/19 : 0</a:t>
          </a:r>
        </a:p>
      </cdr:txBody>
    </cdr:sp>
  </cdr:relSizeAnchor>
  <cdr:relSizeAnchor xmlns:cdr="http://schemas.openxmlformats.org/drawingml/2006/chartDrawing">
    <cdr:from>
      <cdr:x>0.79248</cdr:x>
      <cdr:y>0.00741</cdr:y>
    </cdr:from>
    <cdr:to>
      <cdr:x>0.88126</cdr:x>
      <cdr:y>0.09185</cdr:y>
    </cdr:to>
    <cdr:sp macro="" textlink="">
      <cdr:nvSpPr>
        <cdr:cNvPr id="21" name="TextBox 20">
          <a:extLst xmlns:a="http://schemas.openxmlformats.org/drawingml/2006/main">
            <a:ext uri="{FF2B5EF4-FFF2-40B4-BE49-F238E27FC236}">
              <a16:creationId xmlns:a16="http://schemas.microsoft.com/office/drawing/2014/main" id="{CD04F881-4BE4-4FE5-B7B2-99C26675EE7A}"/>
            </a:ext>
          </a:extLst>
        </cdr:cNvPr>
        <cdr:cNvSpPr txBox="1"/>
      </cdr:nvSpPr>
      <cdr:spPr>
        <a:xfrm xmlns:a="http://schemas.openxmlformats.org/drawingml/2006/main">
          <a:off x="11865979" y="63500"/>
          <a:ext cx="1329330" cy="723899"/>
        </a:xfrm>
        <a:prstGeom xmlns:a="http://schemas.openxmlformats.org/drawingml/2006/main" prst="rect">
          <a:avLst/>
        </a:prstGeom>
        <a:solidFill xmlns:a="http://schemas.openxmlformats.org/drawingml/2006/main">
          <a:srgbClr val="00FFFF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/>
            <a:t>Target Date 10/1/2021</a:t>
          </a:r>
        </a:p>
      </cdr:txBody>
    </cdr:sp>
  </cdr:relSizeAnchor>
  <cdr:relSizeAnchor xmlns:cdr="http://schemas.openxmlformats.org/drawingml/2006/chartDrawing">
    <cdr:from>
      <cdr:x>0.68503</cdr:x>
      <cdr:y>0.43836</cdr:y>
    </cdr:from>
    <cdr:to>
      <cdr:x>0.78833</cdr:x>
      <cdr:y>0.47032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195ADB03-F893-4B3E-8EEA-29E489AA5CF9}"/>
            </a:ext>
          </a:extLst>
        </cdr:cNvPr>
        <cdr:cNvSpPr txBox="1"/>
      </cdr:nvSpPr>
      <cdr:spPr>
        <a:xfrm xmlns:a="http://schemas.openxmlformats.org/drawingml/2006/main">
          <a:off x="10261259" y="3757865"/>
          <a:ext cx="1547363" cy="273977"/>
        </a:xfrm>
        <a:prstGeom xmlns:a="http://schemas.openxmlformats.org/drawingml/2006/main" prst="rect">
          <a:avLst/>
        </a:prstGeom>
        <a:solidFill xmlns:a="http://schemas.openxmlformats.org/drawingml/2006/main">
          <a:srgbClr val="00FFFF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Projected: 7/17/2020</a:t>
          </a:r>
        </a:p>
      </cdr:txBody>
    </cdr:sp>
  </cdr:relSizeAnchor>
  <cdr:relSizeAnchor xmlns:cdr="http://schemas.openxmlformats.org/drawingml/2006/chartDrawing">
    <cdr:from>
      <cdr:x>0.70823</cdr:x>
      <cdr:y>0.3167</cdr:y>
    </cdr:from>
    <cdr:to>
      <cdr:x>0.79967</cdr:x>
      <cdr:y>0.35123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19CA7099-FBFE-4831-B14C-6ADA58CEA44D}"/>
            </a:ext>
          </a:extLst>
        </cdr:cNvPr>
        <cdr:cNvSpPr txBox="1"/>
      </cdr:nvSpPr>
      <cdr:spPr>
        <a:xfrm xmlns:a="http://schemas.openxmlformats.org/drawingml/2006/main">
          <a:off x="10608826" y="2714924"/>
          <a:ext cx="1369708" cy="296009"/>
        </a:xfrm>
        <a:prstGeom xmlns:a="http://schemas.openxmlformats.org/drawingml/2006/main" prst="rect">
          <a:avLst/>
        </a:prstGeom>
        <a:solidFill xmlns:a="http://schemas.openxmlformats.org/drawingml/2006/main">
          <a:srgbClr val="00FFFF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Optimistic: 5/8/2020</a:t>
          </a:r>
        </a:p>
      </cdr:txBody>
    </cdr:sp>
  </cdr:relSizeAnchor>
  <cdr:relSizeAnchor xmlns:cdr="http://schemas.openxmlformats.org/drawingml/2006/chartDrawing">
    <cdr:from>
      <cdr:x>0.54762</cdr:x>
      <cdr:y>0.49778</cdr:y>
    </cdr:from>
    <cdr:to>
      <cdr:x>0.67875</cdr:x>
      <cdr:y>0.54778</cdr:y>
    </cdr:to>
    <cdr:sp macro="" textlink="">
      <cdr:nvSpPr>
        <cdr:cNvPr id="14" name="TextBox 13">
          <a:extLst xmlns:a="http://schemas.openxmlformats.org/drawingml/2006/main">
            <a:ext uri="{FF2B5EF4-FFF2-40B4-BE49-F238E27FC236}">
              <a16:creationId xmlns:a16="http://schemas.microsoft.com/office/drawing/2014/main" id="{853C558D-189E-43B3-AC23-9DDE7CB36D09}"/>
            </a:ext>
          </a:extLst>
        </cdr:cNvPr>
        <cdr:cNvSpPr txBox="1"/>
      </cdr:nvSpPr>
      <cdr:spPr>
        <a:xfrm xmlns:a="http://schemas.openxmlformats.org/drawingml/2006/main">
          <a:off x="8199718" y="4267199"/>
          <a:ext cx="1963457" cy="428626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0</a:t>
          </a:r>
        </a:p>
      </cdr:txBody>
    </cdr:sp>
  </cdr:relSizeAnchor>
  <cdr:relSizeAnchor xmlns:cdr="http://schemas.openxmlformats.org/drawingml/2006/chartDrawing">
    <cdr:from>
      <cdr:x>0.68588</cdr:x>
      <cdr:y>0.52575</cdr:y>
    </cdr:from>
    <cdr:to>
      <cdr:x>0.69016</cdr:x>
      <cdr:y>0.54893</cdr:y>
    </cdr:to>
    <cdr:cxnSp macro="">
      <cdr:nvCxnSpPr>
        <cdr:cNvPr id="18" name="Straight Arrow Connector 17">
          <a:extLst xmlns:a="http://schemas.openxmlformats.org/drawingml/2006/main">
            <a:ext uri="{FF2B5EF4-FFF2-40B4-BE49-F238E27FC236}">
              <a16:creationId xmlns:a16="http://schemas.microsoft.com/office/drawing/2014/main" id="{BD99A0B4-0680-4101-A1DE-423853C87008}"/>
            </a:ext>
          </a:extLst>
        </cdr:cNvPr>
        <cdr:cNvCxnSpPr/>
      </cdr:nvCxnSpPr>
      <cdr:spPr>
        <a:xfrm xmlns:a="http://schemas.openxmlformats.org/drawingml/2006/main" flipV="1">
          <a:off x="10274042" y="4506951"/>
          <a:ext cx="64068" cy="198722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0.54707</cdr:x>
      <cdr:y>0.63111</cdr:y>
    </cdr:from>
    <cdr:to>
      <cdr:x>0.68066</cdr:x>
      <cdr:y>0.68</cdr:y>
    </cdr:to>
    <cdr:sp macro="" textlink="">
      <cdr:nvSpPr>
        <cdr:cNvPr id="22" name="TextBox 21">
          <a:extLst xmlns:a="http://schemas.openxmlformats.org/drawingml/2006/main">
            <a:ext uri="{FF2B5EF4-FFF2-40B4-BE49-F238E27FC236}">
              <a16:creationId xmlns:a16="http://schemas.microsoft.com/office/drawing/2014/main" id="{D51A15BC-12F4-400A-AB55-B4F270C02F5A}"/>
            </a:ext>
          </a:extLst>
        </cdr:cNvPr>
        <cdr:cNvSpPr txBox="1"/>
      </cdr:nvSpPr>
      <cdr:spPr>
        <a:xfrm xmlns:a="http://schemas.openxmlformats.org/drawingml/2006/main">
          <a:off x="8191500" y="5410200"/>
          <a:ext cx="2000249" cy="419100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% Scope Complete at 09/06/19 : 00.0%</a:t>
          </a:r>
        </a:p>
      </cdr:txBody>
    </cdr:sp>
  </cdr:relSizeAnchor>
  <cdr:relSizeAnchor xmlns:cdr="http://schemas.openxmlformats.org/drawingml/2006/chartDrawing">
    <cdr:from>
      <cdr:x>0.53539</cdr:x>
      <cdr:y>0.02506</cdr:y>
    </cdr:from>
    <cdr:to>
      <cdr:x>0.61122</cdr:x>
      <cdr:y>0.08428</cdr:y>
    </cdr:to>
    <cdr:sp macro="" textlink="">
      <cdr:nvSpPr>
        <cdr:cNvPr id="24" name="TextBox 23">
          <a:extLst xmlns:a="http://schemas.openxmlformats.org/drawingml/2006/main">
            <a:ext uri="{FF2B5EF4-FFF2-40B4-BE49-F238E27FC236}">
              <a16:creationId xmlns:a16="http://schemas.microsoft.com/office/drawing/2014/main" id="{CEAABAAA-197D-4316-8398-5D60733F3EBD}"/>
            </a:ext>
          </a:extLst>
        </cdr:cNvPr>
        <cdr:cNvSpPr txBox="1"/>
      </cdr:nvSpPr>
      <cdr:spPr>
        <a:xfrm xmlns:a="http://schemas.openxmlformats.org/drawingml/2006/main">
          <a:off x="8018124" y="214949"/>
          <a:ext cx="1135645" cy="507953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2800"/>
            <a:t>1</a:t>
          </a:r>
        </a:p>
      </cdr:txBody>
    </cdr:sp>
  </cdr:relSizeAnchor>
  <cdr:relSizeAnchor xmlns:cdr="http://schemas.openxmlformats.org/drawingml/2006/chartDrawing">
    <cdr:from>
      <cdr:x>0.54736</cdr:x>
      <cdr:y>0.69</cdr:y>
    </cdr:from>
    <cdr:to>
      <cdr:x>0.67939</cdr:x>
      <cdr:y>0.75667</cdr:y>
    </cdr:to>
    <cdr:sp macro="" textlink="">
      <cdr:nvSpPr>
        <cdr:cNvPr id="25" name="TextBox 24">
          <a:extLst xmlns:a="http://schemas.openxmlformats.org/drawingml/2006/main">
            <a:ext uri="{FF2B5EF4-FFF2-40B4-BE49-F238E27FC236}">
              <a16:creationId xmlns:a16="http://schemas.microsoft.com/office/drawing/2014/main" id="{EA49D5B9-55E6-402F-B92D-B59550348EDF}"/>
            </a:ext>
          </a:extLst>
        </cdr:cNvPr>
        <cdr:cNvSpPr txBox="1"/>
      </cdr:nvSpPr>
      <cdr:spPr>
        <a:xfrm xmlns:a="http://schemas.openxmlformats.org/drawingml/2006/main">
          <a:off x="8195757" y="5915025"/>
          <a:ext cx="1976943" cy="571499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chemeClr val="tx2">
              <a:lumMod val="60000"/>
              <a:lumOff val="40000"/>
            </a:schemeClr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>
              <a:effectLst/>
              <a:latin typeface="+mn-lt"/>
              <a:ea typeface="+mn-ea"/>
              <a:cs typeface="+mn-cs"/>
            </a:rPr>
            <a:t>4-week Average Growth : 0</a:t>
          </a:r>
          <a:endParaRPr lang="en-US" sz="1100"/>
        </a:p>
      </cdr:txBody>
    </cdr:sp>
  </cdr:relSizeAnchor>
  <cdr:relSizeAnchor xmlns:cdr="http://schemas.openxmlformats.org/drawingml/2006/chartDrawing">
    <cdr:from>
      <cdr:x>0.74423</cdr:x>
      <cdr:y>0.48178</cdr:y>
    </cdr:from>
    <cdr:to>
      <cdr:x>0.78089</cdr:x>
      <cdr:y>0.50949</cdr:y>
    </cdr:to>
    <cdr:cxnSp macro="">
      <cdr:nvCxnSpPr>
        <cdr:cNvPr id="23" name="Straight Arrow Connector 22">
          <a:extLst xmlns:a="http://schemas.openxmlformats.org/drawingml/2006/main">
            <a:ext uri="{FF2B5EF4-FFF2-40B4-BE49-F238E27FC236}">
              <a16:creationId xmlns:a16="http://schemas.microsoft.com/office/drawing/2014/main" id="{2FBD2AAD-503A-49E7-8D7B-47EFDD0DCF82}"/>
            </a:ext>
          </a:extLst>
        </cdr:cNvPr>
        <cdr:cNvCxnSpPr/>
      </cdr:nvCxnSpPr>
      <cdr:spPr>
        <a:xfrm xmlns:a="http://schemas.openxmlformats.org/drawingml/2006/main">
          <a:off x="11147984" y="4130083"/>
          <a:ext cx="549180" cy="237478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0.75395</cdr:x>
      <cdr:y>0.35123</cdr:y>
    </cdr:from>
    <cdr:to>
      <cdr:x>0.76538</cdr:x>
      <cdr:y>0.36179</cdr:y>
    </cdr:to>
    <cdr:cxnSp macro="">
      <cdr:nvCxnSpPr>
        <cdr:cNvPr id="26" name="Straight Arrow Connector 25">
          <a:extLst xmlns:a="http://schemas.openxmlformats.org/drawingml/2006/main">
            <a:ext uri="{FF2B5EF4-FFF2-40B4-BE49-F238E27FC236}">
              <a16:creationId xmlns:a16="http://schemas.microsoft.com/office/drawing/2014/main" id="{A5EB2648-E31A-4ACA-9E1A-98691DB8B420}"/>
            </a:ext>
          </a:extLst>
        </cdr:cNvPr>
        <cdr:cNvCxnSpPr>
          <a:stCxn xmlns:a="http://schemas.openxmlformats.org/drawingml/2006/main" id="9" idx="2"/>
        </cdr:cNvCxnSpPr>
      </cdr:nvCxnSpPr>
      <cdr:spPr>
        <a:xfrm xmlns:a="http://schemas.openxmlformats.org/drawingml/2006/main">
          <a:off x="11293680" y="3010933"/>
          <a:ext cx="171168" cy="90500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0.68186</cdr:x>
      <cdr:y>0.25091</cdr:y>
    </cdr:from>
    <cdr:to>
      <cdr:x>0.91465</cdr:x>
      <cdr:y>0.71941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A7DD3531-64BD-4343-B257-31124FDDF0A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211665" y="2152168"/>
          <a:ext cx="3486316" cy="401850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0.54707</cdr:x>
      <cdr:y>0.56556</cdr:y>
    </cdr:from>
    <cdr:to>
      <cdr:x>0.67748</cdr:x>
      <cdr:y>0.62333</cdr:y>
    </cdr:to>
    <cdr:sp macro="" textlink="">
      <cdr:nvSpPr>
        <cdr:cNvPr id="19" name="TextBox 18">
          <a:extLst xmlns:a="http://schemas.openxmlformats.org/drawingml/2006/main">
            <a:ext uri="{FF2B5EF4-FFF2-40B4-BE49-F238E27FC236}">
              <a16:creationId xmlns:a16="http://schemas.microsoft.com/office/drawing/2014/main" id="{9125596E-C79D-45D2-9A4B-6D2E63061BB7}"/>
            </a:ext>
          </a:extLst>
        </cdr:cNvPr>
        <cdr:cNvSpPr txBox="1"/>
      </cdr:nvSpPr>
      <cdr:spPr>
        <a:xfrm xmlns:a="http://schemas.openxmlformats.org/drawingml/2006/main">
          <a:off x="8191500" y="4848226"/>
          <a:ext cx="1952625" cy="495300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4-Week Throughput Average at 09/06/19 : 0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45"/>
  <sheetViews>
    <sheetView zoomScale="83" zoomScaleNormal="83" workbookViewId="0">
      <pane ySplit="1" topLeftCell="A2" activePane="bottomLeft" state="frozen"/>
      <selection pane="bottomLeft" activeCell="H47" sqref="H47"/>
    </sheetView>
  </sheetViews>
  <sheetFormatPr defaultRowHeight="12.5" x14ac:dyDescent="0.25"/>
  <cols>
    <col min="1" max="2" width="10.54296875" bestFit="1" customWidth="1"/>
    <col min="3" max="3" width="12.1796875" bestFit="1" customWidth="1"/>
    <col min="4" max="4" width="8.54296875" bestFit="1" customWidth="1"/>
    <col min="5" max="10" width="3.453125" bestFit="1" customWidth="1"/>
    <col min="11" max="11" width="8.54296875" bestFit="1" customWidth="1"/>
    <col min="12" max="12" width="12.453125" customWidth="1"/>
    <col min="13" max="13" width="109.54296875" customWidth="1"/>
    <col min="14" max="14" width="25.54296875" customWidth="1"/>
    <col min="18" max="18" width="13.54296875" bestFit="1" customWidth="1"/>
  </cols>
  <sheetData>
    <row r="1" spans="1:16" s="20" customFormat="1" ht="87" customHeight="1" x14ac:dyDescent="0.3">
      <c r="A1" s="14" t="s">
        <v>2</v>
      </c>
      <c r="B1" s="14" t="s">
        <v>3</v>
      </c>
      <c r="C1" s="14" t="s">
        <v>4</v>
      </c>
      <c r="D1" s="14" t="s">
        <v>5</v>
      </c>
      <c r="E1" s="15" t="s">
        <v>6</v>
      </c>
      <c r="F1" s="16" t="s">
        <v>7</v>
      </c>
      <c r="G1" s="17" t="s">
        <v>8</v>
      </c>
      <c r="H1" s="17" t="s">
        <v>9</v>
      </c>
      <c r="I1" s="17" t="s">
        <v>10</v>
      </c>
      <c r="J1" s="18" t="s">
        <v>11</v>
      </c>
      <c r="K1" s="14" t="s">
        <v>27</v>
      </c>
      <c r="L1" s="19" t="s">
        <v>12</v>
      </c>
      <c r="M1" s="19" t="s">
        <v>30</v>
      </c>
      <c r="N1" s="19" t="s">
        <v>13</v>
      </c>
    </row>
    <row r="2" spans="1:16" s="31" customFormat="1" ht="14.5" x14ac:dyDescent="0.35">
      <c r="A2" s="25">
        <v>43712</v>
      </c>
      <c r="B2" s="25">
        <v>43721</v>
      </c>
      <c r="C2" s="26"/>
      <c r="D2" s="27">
        <f>NETWORKDAYS(A2,B2,)-$C2</f>
        <v>8</v>
      </c>
      <c r="E2" s="28" t="s">
        <v>1</v>
      </c>
      <c r="F2" s="29" t="s">
        <v>26</v>
      </c>
      <c r="G2" s="26" t="s">
        <v>31</v>
      </c>
      <c r="H2" s="26" t="s">
        <v>32</v>
      </c>
      <c r="I2" s="26" t="s">
        <v>33</v>
      </c>
      <c r="J2" s="30" t="s">
        <v>34</v>
      </c>
      <c r="K2" s="27">
        <f>ROUND(AVERAGE(D2:D2),1)</f>
        <v>8</v>
      </c>
      <c r="L2" s="31" t="s">
        <v>35</v>
      </c>
      <c r="M2" s="13" t="s">
        <v>36</v>
      </c>
      <c r="N2" s="13"/>
      <c r="O2" s="32"/>
      <c r="P2" s="32"/>
    </row>
    <row r="3" spans="1:16" s="12" customFormat="1" ht="14.5" x14ac:dyDescent="0.35">
      <c r="A3" s="6"/>
      <c r="B3" s="6"/>
      <c r="C3" s="7"/>
      <c r="D3" s="8">
        <f t="shared" ref="D3:D26" si="0">NETWORKDAYS(A3,B3,)-$C3</f>
        <v>0</v>
      </c>
      <c r="E3" s="9"/>
      <c r="F3" s="10"/>
      <c r="G3" s="7"/>
      <c r="H3" s="7"/>
      <c r="I3" s="7"/>
      <c r="J3" s="11"/>
      <c r="K3" s="8">
        <f>ROUND(AVERAGE(D2:D3),1)</f>
        <v>4</v>
      </c>
      <c r="M3" s="13"/>
      <c r="N3" s="13"/>
      <c r="O3" s="2"/>
      <c r="P3" s="2"/>
    </row>
    <row r="4" spans="1:16" s="12" customFormat="1" ht="14.5" x14ac:dyDescent="0.35">
      <c r="A4" s="6"/>
      <c r="B4" s="6"/>
      <c r="C4" s="7"/>
      <c r="D4" s="8">
        <f t="shared" si="0"/>
        <v>0</v>
      </c>
      <c r="E4" s="9"/>
      <c r="F4" s="10"/>
      <c r="G4" s="7"/>
      <c r="H4" s="7"/>
      <c r="I4" s="7"/>
      <c r="J4" s="11"/>
      <c r="K4" s="8">
        <f>ROUND(AVERAGE(D2:D4),1)</f>
        <v>2.7</v>
      </c>
      <c r="M4" s="13"/>
      <c r="N4" s="13"/>
      <c r="O4" s="2"/>
      <c r="P4" s="2"/>
    </row>
    <row r="5" spans="1:16" s="12" customFormat="1" ht="14.5" x14ac:dyDescent="0.35">
      <c r="A5" s="6"/>
      <c r="B5" s="6"/>
      <c r="C5" s="7"/>
      <c r="D5" s="8">
        <f t="shared" si="0"/>
        <v>0</v>
      </c>
      <c r="E5" s="9"/>
      <c r="F5" s="10"/>
      <c r="G5" s="7"/>
      <c r="H5" s="7"/>
      <c r="I5" s="7"/>
      <c r="J5" s="11"/>
      <c r="K5" s="8">
        <f>ROUND(AVERAGE(D2:D5),1)</f>
        <v>2</v>
      </c>
      <c r="M5" s="13"/>
      <c r="N5" s="13"/>
      <c r="O5" s="2"/>
      <c r="P5" s="2"/>
    </row>
    <row r="6" spans="1:16" s="12" customFormat="1" ht="14.5" x14ac:dyDescent="0.35">
      <c r="A6" s="6"/>
      <c r="B6" s="6"/>
      <c r="C6" s="7"/>
      <c r="D6" s="8">
        <f t="shared" si="0"/>
        <v>0</v>
      </c>
      <c r="E6" s="9"/>
      <c r="F6" s="10"/>
      <c r="G6" s="7"/>
      <c r="H6" s="7"/>
      <c r="I6" s="7"/>
      <c r="J6" s="11"/>
      <c r="K6" s="8">
        <f>ROUND(AVERAGE(D2:D6),1)</f>
        <v>1.6</v>
      </c>
      <c r="M6" s="13"/>
      <c r="N6" s="13"/>
      <c r="O6" s="2"/>
      <c r="P6" s="2"/>
    </row>
    <row r="7" spans="1:16" s="12" customFormat="1" ht="14.5" x14ac:dyDescent="0.35">
      <c r="A7" s="6"/>
      <c r="B7" s="6"/>
      <c r="C7" s="7"/>
      <c r="D7" s="8">
        <f t="shared" si="0"/>
        <v>0</v>
      </c>
      <c r="E7" s="9"/>
      <c r="F7" s="10"/>
      <c r="G7" s="7"/>
      <c r="H7" s="7"/>
      <c r="I7" s="7"/>
      <c r="J7" s="11"/>
      <c r="K7" s="8">
        <f>ROUND(AVERAGE(D2:D7),1)</f>
        <v>1.3</v>
      </c>
      <c r="M7" s="13"/>
      <c r="N7" s="13"/>
      <c r="O7" s="2"/>
      <c r="P7" s="2"/>
    </row>
    <row r="8" spans="1:16" s="12" customFormat="1" ht="14.5" x14ac:dyDescent="0.35">
      <c r="A8" s="6"/>
      <c r="B8" s="6"/>
      <c r="C8" s="7"/>
      <c r="D8" s="8">
        <f t="shared" si="0"/>
        <v>0</v>
      </c>
      <c r="E8" s="9"/>
      <c r="F8" s="10"/>
      <c r="G8" s="7"/>
      <c r="H8" s="7"/>
      <c r="I8" s="7"/>
      <c r="J8" s="11"/>
      <c r="K8" s="8">
        <f>ROUND(AVERAGE(D2:D8),1)</f>
        <v>1.1000000000000001</v>
      </c>
      <c r="M8" s="13"/>
      <c r="N8" s="35"/>
      <c r="O8" s="2"/>
      <c r="P8" s="2"/>
    </row>
    <row r="9" spans="1:16" s="12" customFormat="1" ht="14.5" x14ac:dyDescent="0.35">
      <c r="A9" s="6"/>
      <c r="B9" s="6"/>
      <c r="C9" s="7"/>
      <c r="D9" s="8">
        <f t="shared" si="0"/>
        <v>0</v>
      </c>
      <c r="E9" s="9"/>
      <c r="F9" s="10"/>
      <c r="G9" s="7"/>
      <c r="H9" s="7"/>
      <c r="I9" s="7"/>
      <c r="J9" s="11"/>
      <c r="K9" s="8">
        <f>ROUND(AVERAGE(D2:D9),1)</f>
        <v>1</v>
      </c>
      <c r="M9" s="13"/>
      <c r="N9" s="35"/>
      <c r="O9" s="2"/>
      <c r="P9" s="2"/>
    </row>
    <row r="10" spans="1:16" s="12" customFormat="1" ht="14.5" x14ac:dyDescent="0.35">
      <c r="A10" s="6"/>
      <c r="B10" s="6"/>
      <c r="C10" s="7"/>
      <c r="D10" s="8">
        <f t="shared" si="0"/>
        <v>0</v>
      </c>
      <c r="E10" s="9"/>
      <c r="F10" s="10"/>
      <c r="G10" s="7"/>
      <c r="H10" s="7"/>
      <c r="I10" s="7"/>
      <c r="J10" s="11"/>
      <c r="K10" s="8">
        <f t="shared" ref="K10:K38" si="1">ROUND(AVERAGE(D3:D10),1)</f>
        <v>0</v>
      </c>
      <c r="M10" s="13"/>
      <c r="N10" s="35"/>
      <c r="O10" s="2"/>
      <c r="P10" s="2"/>
    </row>
    <row r="11" spans="1:16" s="12" customFormat="1" ht="14.5" x14ac:dyDescent="0.35">
      <c r="A11" s="6"/>
      <c r="B11" s="6"/>
      <c r="C11" s="7"/>
      <c r="D11" s="8">
        <f t="shared" si="0"/>
        <v>0</v>
      </c>
      <c r="E11" s="9"/>
      <c r="F11" s="10"/>
      <c r="G11" s="7"/>
      <c r="H11" s="7"/>
      <c r="I11" s="7"/>
      <c r="J11" s="11"/>
      <c r="K11" s="8">
        <f t="shared" si="1"/>
        <v>0</v>
      </c>
      <c r="M11" s="13"/>
      <c r="N11" s="35"/>
      <c r="O11" s="2"/>
      <c r="P11" s="2"/>
    </row>
    <row r="12" spans="1:16" s="12" customFormat="1" ht="14.5" x14ac:dyDescent="0.35">
      <c r="A12" s="6"/>
      <c r="B12" s="6"/>
      <c r="C12" s="7"/>
      <c r="D12" s="8">
        <f t="shared" si="0"/>
        <v>0</v>
      </c>
      <c r="E12" s="9"/>
      <c r="F12" s="10"/>
      <c r="G12" s="7"/>
      <c r="H12" s="7"/>
      <c r="I12" s="7"/>
      <c r="J12" s="11"/>
      <c r="K12" s="8">
        <f t="shared" si="1"/>
        <v>0</v>
      </c>
      <c r="M12" s="13"/>
      <c r="N12" s="35"/>
      <c r="O12" s="2"/>
      <c r="P12" s="2"/>
    </row>
    <row r="13" spans="1:16" s="12" customFormat="1" ht="15" customHeight="1" x14ac:dyDescent="0.35">
      <c r="A13" s="6"/>
      <c r="B13" s="6"/>
      <c r="C13" s="7"/>
      <c r="D13" s="8">
        <f t="shared" si="0"/>
        <v>0</v>
      </c>
      <c r="E13" s="9"/>
      <c r="F13" s="10"/>
      <c r="G13" s="7"/>
      <c r="H13" s="7"/>
      <c r="I13" s="7"/>
      <c r="J13" s="11"/>
      <c r="K13" s="8">
        <f t="shared" si="1"/>
        <v>0</v>
      </c>
      <c r="M13" s="13"/>
      <c r="N13" s="35"/>
      <c r="O13" s="2"/>
      <c r="P13" s="2"/>
    </row>
    <row r="14" spans="1:16" s="12" customFormat="1" ht="14.5" x14ac:dyDescent="0.35">
      <c r="A14" s="6"/>
      <c r="B14" s="6"/>
      <c r="C14" s="7"/>
      <c r="D14" s="8">
        <f t="shared" si="0"/>
        <v>0</v>
      </c>
      <c r="E14" s="9"/>
      <c r="F14" s="10"/>
      <c r="G14" s="7"/>
      <c r="H14" s="7"/>
      <c r="I14" s="7"/>
      <c r="J14" s="11"/>
      <c r="K14" s="8">
        <f t="shared" si="1"/>
        <v>0</v>
      </c>
      <c r="M14" s="13"/>
      <c r="N14" s="35"/>
      <c r="O14" s="2"/>
      <c r="P14" s="2"/>
    </row>
    <row r="15" spans="1:16" s="12" customFormat="1" ht="14.5" x14ac:dyDescent="0.35">
      <c r="A15" s="6"/>
      <c r="B15" s="6"/>
      <c r="C15" s="7"/>
      <c r="D15" s="8">
        <f t="shared" si="0"/>
        <v>0</v>
      </c>
      <c r="E15" s="9"/>
      <c r="F15" s="10"/>
      <c r="G15" s="7"/>
      <c r="H15" s="7"/>
      <c r="I15" s="7"/>
      <c r="J15" s="11"/>
      <c r="K15" s="8">
        <f t="shared" si="1"/>
        <v>0</v>
      </c>
      <c r="M15" s="13"/>
      <c r="N15" s="35"/>
      <c r="O15" s="2"/>
      <c r="P15" s="2"/>
    </row>
    <row r="16" spans="1:16" s="12" customFormat="1" ht="14.5" x14ac:dyDescent="0.35">
      <c r="A16" s="6"/>
      <c r="B16" s="6"/>
      <c r="C16" s="7"/>
      <c r="D16" s="8">
        <f t="shared" si="0"/>
        <v>0</v>
      </c>
      <c r="E16" s="9"/>
      <c r="F16" s="10"/>
      <c r="G16" s="7"/>
      <c r="H16" s="7"/>
      <c r="I16" s="7"/>
      <c r="J16" s="11"/>
      <c r="K16" s="8">
        <f t="shared" si="1"/>
        <v>0</v>
      </c>
      <c r="M16" s="13"/>
      <c r="N16" s="35"/>
      <c r="O16" s="2"/>
      <c r="P16" s="2"/>
    </row>
    <row r="17" spans="1:16" s="12" customFormat="1" ht="14.5" x14ac:dyDescent="0.35">
      <c r="A17" s="6"/>
      <c r="B17" s="6"/>
      <c r="C17" s="7"/>
      <c r="D17" s="8">
        <f t="shared" si="0"/>
        <v>0</v>
      </c>
      <c r="E17" s="9"/>
      <c r="F17" s="10"/>
      <c r="G17" s="7"/>
      <c r="H17" s="7"/>
      <c r="I17" s="7"/>
      <c r="J17" s="11"/>
      <c r="K17" s="8">
        <f t="shared" si="1"/>
        <v>0</v>
      </c>
      <c r="M17" s="13"/>
      <c r="N17" s="35"/>
      <c r="O17" s="2"/>
      <c r="P17" s="2"/>
    </row>
    <row r="18" spans="1:16" s="12" customFormat="1" ht="14.5" x14ac:dyDescent="0.35">
      <c r="A18" s="6"/>
      <c r="B18" s="6"/>
      <c r="C18" s="7"/>
      <c r="D18" s="8">
        <f t="shared" si="0"/>
        <v>0</v>
      </c>
      <c r="E18" s="9"/>
      <c r="F18" s="10"/>
      <c r="G18" s="7"/>
      <c r="H18" s="7"/>
      <c r="I18" s="7"/>
      <c r="J18" s="11"/>
      <c r="K18" s="8">
        <f t="shared" si="1"/>
        <v>0</v>
      </c>
      <c r="M18" s="13"/>
      <c r="N18" s="35"/>
      <c r="O18" s="2"/>
      <c r="P18" s="2"/>
    </row>
    <row r="19" spans="1:16" s="12" customFormat="1" ht="14.5" x14ac:dyDescent="0.35">
      <c r="A19" s="6"/>
      <c r="B19" s="6"/>
      <c r="C19" s="7"/>
      <c r="D19" s="8">
        <f t="shared" si="0"/>
        <v>0</v>
      </c>
      <c r="E19" s="9"/>
      <c r="F19" s="10"/>
      <c r="G19" s="7"/>
      <c r="H19" s="7"/>
      <c r="I19" s="7"/>
      <c r="J19" s="11"/>
      <c r="K19" s="8">
        <f t="shared" si="1"/>
        <v>0</v>
      </c>
      <c r="M19" s="13"/>
      <c r="N19" s="35"/>
      <c r="O19" s="2"/>
      <c r="P19" s="2"/>
    </row>
    <row r="20" spans="1:16" s="12" customFormat="1" ht="14.5" x14ac:dyDescent="0.35">
      <c r="A20" s="6"/>
      <c r="B20" s="6"/>
      <c r="C20" s="7"/>
      <c r="D20" s="8">
        <f t="shared" si="0"/>
        <v>0</v>
      </c>
      <c r="E20" s="9"/>
      <c r="F20" s="10"/>
      <c r="G20" s="7"/>
      <c r="H20" s="7"/>
      <c r="I20" s="7"/>
      <c r="J20" s="11"/>
      <c r="K20" s="8">
        <f t="shared" si="1"/>
        <v>0</v>
      </c>
      <c r="M20" s="13"/>
      <c r="N20" s="13"/>
      <c r="O20" s="2"/>
      <c r="P20" s="2"/>
    </row>
    <row r="21" spans="1:16" s="12" customFormat="1" ht="14.5" x14ac:dyDescent="0.35">
      <c r="A21" s="6"/>
      <c r="B21" s="6"/>
      <c r="C21" s="7"/>
      <c r="D21" s="8">
        <f t="shared" si="0"/>
        <v>0</v>
      </c>
      <c r="E21" s="9"/>
      <c r="F21" s="10"/>
      <c r="G21" s="7"/>
      <c r="H21" s="7"/>
      <c r="I21" s="7"/>
      <c r="J21" s="11"/>
      <c r="K21" s="8">
        <f t="shared" si="1"/>
        <v>0</v>
      </c>
      <c r="M21" s="13"/>
      <c r="N21" s="13"/>
      <c r="O21" s="2"/>
      <c r="P21" s="2"/>
    </row>
    <row r="22" spans="1:16" s="12" customFormat="1" ht="14.5" x14ac:dyDescent="0.35">
      <c r="A22" s="6"/>
      <c r="B22" s="6"/>
      <c r="C22" s="7"/>
      <c r="D22" s="8">
        <f t="shared" si="0"/>
        <v>0</v>
      </c>
      <c r="E22" s="9"/>
      <c r="F22" s="10"/>
      <c r="G22" s="7"/>
      <c r="H22" s="7"/>
      <c r="I22" s="7"/>
      <c r="J22" s="11"/>
      <c r="K22" s="8">
        <f t="shared" si="1"/>
        <v>0</v>
      </c>
      <c r="M22" s="13"/>
      <c r="N22" s="13"/>
      <c r="O22" s="2"/>
      <c r="P22" s="2"/>
    </row>
    <row r="23" spans="1:16" s="12" customFormat="1" ht="14.5" x14ac:dyDescent="0.35">
      <c r="A23" s="6"/>
      <c r="B23" s="6"/>
      <c r="C23" s="7"/>
      <c r="D23" s="8">
        <f t="shared" si="0"/>
        <v>0</v>
      </c>
      <c r="E23" s="9"/>
      <c r="F23" s="10"/>
      <c r="G23" s="7"/>
      <c r="H23" s="7"/>
      <c r="I23" s="7"/>
      <c r="J23" s="11"/>
      <c r="K23" s="8">
        <f t="shared" si="1"/>
        <v>0</v>
      </c>
      <c r="M23" s="13"/>
      <c r="N23" s="13"/>
      <c r="O23" s="2"/>
      <c r="P23" s="2"/>
    </row>
    <row r="24" spans="1:16" s="12" customFormat="1" ht="14.5" x14ac:dyDescent="0.35">
      <c r="A24" s="6"/>
      <c r="B24" s="6"/>
      <c r="C24" s="7"/>
      <c r="D24" s="8">
        <f t="shared" si="0"/>
        <v>0</v>
      </c>
      <c r="E24" s="9"/>
      <c r="F24" s="10"/>
      <c r="G24" s="7"/>
      <c r="H24" s="7"/>
      <c r="I24" s="7"/>
      <c r="J24" s="11"/>
      <c r="K24" s="8">
        <f t="shared" si="1"/>
        <v>0</v>
      </c>
      <c r="M24" s="13"/>
      <c r="N24" s="13"/>
      <c r="O24" s="2"/>
      <c r="P24" s="2"/>
    </row>
    <row r="25" spans="1:16" s="12" customFormat="1" ht="14.5" x14ac:dyDescent="0.35">
      <c r="A25" s="6"/>
      <c r="B25" s="6"/>
      <c r="C25" s="7"/>
      <c r="D25" s="8">
        <f t="shared" si="0"/>
        <v>0</v>
      </c>
      <c r="E25" s="9"/>
      <c r="F25" s="10"/>
      <c r="G25" s="7"/>
      <c r="H25" s="7"/>
      <c r="I25" s="7"/>
      <c r="J25" s="11"/>
      <c r="K25" s="8">
        <f t="shared" si="1"/>
        <v>0</v>
      </c>
      <c r="M25" s="13"/>
      <c r="N25" s="35"/>
      <c r="O25" s="2"/>
      <c r="P25" s="2"/>
    </row>
    <row r="26" spans="1:16" s="12" customFormat="1" ht="14.5" x14ac:dyDescent="0.35">
      <c r="A26" s="6"/>
      <c r="B26" s="6"/>
      <c r="C26" s="7"/>
      <c r="D26" s="8">
        <f t="shared" si="0"/>
        <v>0</v>
      </c>
      <c r="E26" s="9"/>
      <c r="F26" s="10"/>
      <c r="G26" s="7"/>
      <c r="H26" s="7"/>
      <c r="I26" s="7"/>
      <c r="J26" s="11"/>
      <c r="K26" s="8">
        <f t="shared" si="1"/>
        <v>0</v>
      </c>
      <c r="M26" s="13"/>
      <c r="N26" s="35"/>
      <c r="O26" s="2"/>
      <c r="P26" s="2"/>
    </row>
    <row r="27" spans="1:16" ht="14.5" x14ac:dyDescent="0.35">
      <c r="A27" s="6"/>
      <c r="B27" s="6"/>
      <c r="C27" s="7"/>
      <c r="D27" s="8">
        <f>NETWORKDAYS(A27,B27,)-$C27</f>
        <v>0</v>
      </c>
      <c r="E27" s="9"/>
      <c r="F27" s="10"/>
      <c r="G27" s="7"/>
      <c r="H27" s="7"/>
      <c r="I27" s="7"/>
      <c r="J27" s="11"/>
      <c r="K27" s="8">
        <f t="shared" si="1"/>
        <v>0</v>
      </c>
      <c r="L27" s="12"/>
      <c r="M27" s="13"/>
      <c r="N27" s="13"/>
    </row>
    <row r="28" spans="1:16" ht="14.5" x14ac:dyDescent="0.35">
      <c r="A28" s="6"/>
      <c r="B28" s="6"/>
      <c r="C28" s="7"/>
      <c r="D28" s="8">
        <f t="shared" ref="D28:D38" si="2">NETWORKDAYS(A28,B28,)-$C28</f>
        <v>0</v>
      </c>
      <c r="E28" s="9"/>
      <c r="F28" s="10"/>
      <c r="G28" s="7"/>
      <c r="H28" s="7"/>
      <c r="I28" s="7"/>
      <c r="J28" s="11"/>
      <c r="K28" s="8">
        <f t="shared" si="1"/>
        <v>0</v>
      </c>
      <c r="L28" s="12"/>
      <c r="M28" s="13"/>
      <c r="N28" s="35"/>
    </row>
    <row r="29" spans="1:16" s="2" customFormat="1" ht="14.5" x14ac:dyDescent="0.35">
      <c r="A29" s="6"/>
      <c r="B29" s="6"/>
      <c r="C29" s="7"/>
      <c r="D29" s="8">
        <f t="shared" si="2"/>
        <v>0</v>
      </c>
      <c r="E29" s="9"/>
      <c r="F29" s="10"/>
      <c r="G29" s="7"/>
      <c r="H29" s="7"/>
      <c r="I29" s="7"/>
      <c r="J29" s="11"/>
      <c r="K29" s="8">
        <f t="shared" si="1"/>
        <v>0</v>
      </c>
      <c r="L29" s="12"/>
      <c r="M29" s="13"/>
      <c r="N29" s="35"/>
      <c r="O29" s="32"/>
    </row>
    <row r="30" spans="1:16" ht="14.5" x14ac:dyDescent="0.35">
      <c r="A30" s="6"/>
      <c r="B30" s="6"/>
      <c r="C30" s="7"/>
      <c r="D30" s="8">
        <f t="shared" si="2"/>
        <v>0</v>
      </c>
      <c r="E30" s="9"/>
      <c r="F30" s="10"/>
      <c r="G30" s="7"/>
      <c r="H30" s="7"/>
      <c r="I30" s="7"/>
      <c r="J30" s="11"/>
      <c r="K30" s="8">
        <f t="shared" si="1"/>
        <v>0</v>
      </c>
      <c r="L30" s="12"/>
      <c r="M30" s="13"/>
      <c r="N30" s="35"/>
    </row>
    <row r="31" spans="1:16" ht="14.5" x14ac:dyDescent="0.35">
      <c r="A31" s="6"/>
      <c r="B31" s="6"/>
      <c r="C31" s="7"/>
      <c r="D31" s="8">
        <f t="shared" si="2"/>
        <v>0</v>
      </c>
      <c r="E31" s="9"/>
      <c r="F31" s="10"/>
      <c r="G31" s="7"/>
      <c r="H31" s="7"/>
      <c r="I31" s="7"/>
      <c r="J31" s="11"/>
      <c r="K31" s="8">
        <f t="shared" si="1"/>
        <v>0</v>
      </c>
      <c r="L31" s="12"/>
      <c r="M31" s="13"/>
      <c r="N31" s="35"/>
    </row>
    <row r="32" spans="1:16" ht="14.5" x14ac:dyDescent="0.35">
      <c r="A32" s="6"/>
      <c r="B32" s="6"/>
      <c r="C32" s="7"/>
      <c r="D32" s="8">
        <f t="shared" si="2"/>
        <v>0</v>
      </c>
      <c r="E32" s="9"/>
      <c r="F32" s="10"/>
      <c r="G32" s="7"/>
      <c r="H32" s="7"/>
      <c r="I32" s="7"/>
      <c r="J32" s="11"/>
      <c r="K32" s="8">
        <f t="shared" si="1"/>
        <v>0</v>
      </c>
      <c r="L32" s="12"/>
      <c r="M32" s="13"/>
      <c r="N32" s="35"/>
    </row>
    <row r="33" spans="1:14" ht="14.5" x14ac:dyDescent="0.35">
      <c r="A33" s="6"/>
      <c r="B33" s="6"/>
      <c r="C33" s="7"/>
      <c r="D33" s="8">
        <f t="shared" si="2"/>
        <v>0</v>
      </c>
      <c r="E33" s="9"/>
      <c r="F33" s="10"/>
      <c r="G33" s="7"/>
      <c r="H33" s="7"/>
      <c r="I33" s="7"/>
      <c r="J33" s="11"/>
      <c r="K33" s="8">
        <f t="shared" si="1"/>
        <v>0</v>
      </c>
      <c r="M33" s="13"/>
      <c r="N33" s="35"/>
    </row>
    <row r="34" spans="1:14" ht="14.5" x14ac:dyDescent="0.35">
      <c r="A34" s="6"/>
      <c r="B34" s="6"/>
      <c r="C34" s="7"/>
      <c r="D34" s="8">
        <f t="shared" si="2"/>
        <v>0</v>
      </c>
      <c r="E34" s="9"/>
      <c r="F34" s="10"/>
      <c r="G34" s="7"/>
      <c r="H34" s="7"/>
      <c r="I34" s="7"/>
      <c r="J34" s="11"/>
      <c r="K34" s="8">
        <f t="shared" si="1"/>
        <v>0</v>
      </c>
      <c r="M34" s="13"/>
      <c r="N34" s="35"/>
    </row>
    <row r="35" spans="1:14" ht="14.5" x14ac:dyDescent="0.35">
      <c r="A35" s="6"/>
      <c r="B35" s="6"/>
      <c r="C35" s="7"/>
      <c r="D35" s="8">
        <f t="shared" si="2"/>
        <v>0</v>
      </c>
      <c r="E35" s="9"/>
      <c r="F35" s="10"/>
      <c r="G35" s="7"/>
      <c r="H35" s="7"/>
      <c r="I35" s="7"/>
      <c r="J35" s="11"/>
      <c r="K35" s="8">
        <f t="shared" si="1"/>
        <v>0</v>
      </c>
      <c r="M35" s="13"/>
      <c r="N35" s="35"/>
    </row>
    <row r="36" spans="1:14" ht="14.5" x14ac:dyDescent="0.35">
      <c r="A36" s="6"/>
      <c r="B36" s="6"/>
      <c r="C36" s="7"/>
      <c r="D36" s="8">
        <f t="shared" si="2"/>
        <v>0</v>
      </c>
      <c r="E36" s="9"/>
      <c r="F36" s="10"/>
      <c r="G36" s="7"/>
      <c r="H36" s="7"/>
      <c r="I36" s="7"/>
      <c r="J36" s="11"/>
      <c r="K36" s="8">
        <f t="shared" si="1"/>
        <v>0</v>
      </c>
      <c r="M36" s="13"/>
      <c r="N36" s="35"/>
    </row>
    <row r="37" spans="1:14" ht="14.5" x14ac:dyDescent="0.35">
      <c r="A37" s="6"/>
      <c r="B37" s="6"/>
      <c r="C37" s="7"/>
      <c r="D37" s="8">
        <f t="shared" si="2"/>
        <v>0</v>
      </c>
      <c r="E37" s="9"/>
      <c r="F37" s="10"/>
      <c r="G37" s="7"/>
      <c r="H37" s="7"/>
      <c r="I37" s="7"/>
      <c r="J37" s="11"/>
      <c r="K37" s="8">
        <f t="shared" si="1"/>
        <v>0</v>
      </c>
      <c r="L37" s="2"/>
      <c r="M37" s="13"/>
      <c r="N37" s="35"/>
    </row>
    <row r="38" spans="1:14" ht="14.5" x14ac:dyDescent="0.35">
      <c r="A38" s="6"/>
      <c r="B38" s="6"/>
      <c r="C38" s="7"/>
      <c r="D38" s="8">
        <f t="shared" si="2"/>
        <v>0</v>
      </c>
      <c r="E38" s="9"/>
      <c r="F38" s="10"/>
      <c r="G38" s="7"/>
      <c r="H38" s="7"/>
      <c r="I38" s="7"/>
      <c r="J38" s="11"/>
      <c r="K38" s="8">
        <f t="shared" si="1"/>
        <v>0</v>
      </c>
      <c r="L38" s="2"/>
      <c r="M38" s="13"/>
      <c r="N38" s="35"/>
    </row>
    <row r="39" spans="1:14" ht="14.5" x14ac:dyDescent="0.35">
      <c r="A39" s="6"/>
      <c r="B39" s="6"/>
      <c r="C39" s="7"/>
      <c r="D39" s="8">
        <f>NETWORKDAYS(A39,B39,)-$C39</f>
        <v>0</v>
      </c>
      <c r="E39" s="9"/>
      <c r="F39" s="10"/>
      <c r="G39" s="7"/>
      <c r="H39" s="7"/>
      <c r="I39" s="7"/>
      <c r="J39" s="11"/>
      <c r="K39" s="8">
        <f>ROUND(AVERAGE(D32:D39),1)</f>
        <v>0</v>
      </c>
      <c r="L39" s="2"/>
      <c r="M39" s="13"/>
      <c r="N39" s="35"/>
    </row>
    <row r="40" spans="1:14" ht="14.5" x14ac:dyDescent="0.35">
      <c r="A40" s="6"/>
      <c r="B40" s="6"/>
      <c r="C40" s="7"/>
      <c r="D40" s="8">
        <f>NETWORKDAYS(A40,B40,)-$C40</f>
        <v>0</v>
      </c>
      <c r="E40" s="9"/>
      <c r="F40" s="10"/>
      <c r="G40" s="7"/>
      <c r="H40" s="7"/>
      <c r="I40" s="7"/>
      <c r="J40" s="11"/>
      <c r="K40" s="8">
        <f>ROUND(AVERAGE(D33:D40),1)</f>
        <v>0</v>
      </c>
      <c r="L40" s="2"/>
      <c r="M40" s="13"/>
      <c r="N40" s="35"/>
    </row>
    <row r="41" spans="1:14" ht="14.5" x14ac:dyDescent="0.35">
      <c r="A41" s="6"/>
      <c r="B41" s="6"/>
      <c r="C41" s="7"/>
      <c r="D41" s="8">
        <f>NETWORKDAYS(A41,B41,)-$C41</f>
        <v>0</v>
      </c>
      <c r="E41" s="9"/>
      <c r="F41" s="10"/>
      <c r="G41" s="7"/>
      <c r="H41" s="7"/>
      <c r="I41" s="7"/>
      <c r="J41" s="11"/>
      <c r="K41" s="8">
        <f>ROUND(AVERAGE(D34:D41),1)</f>
        <v>0</v>
      </c>
      <c r="L41" s="2"/>
      <c r="M41" s="13"/>
      <c r="N41" s="35"/>
    </row>
    <row r="45" spans="1:14" x14ac:dyDescent="0.25">
      <c r="A45" s="36"/>
    </row>
  </sheetData>
  <pageMargins left="0.7" right="0.7" top="0.75" bottom="0.75" header="0.3" footer="0.3"/>
  <pageSetup scale="56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89"/>
  <sheetViews>
    <sheetView zoomScale="65" zoomScaleNormal="65" workbookViewId="0">
      <pane xSplit="1" ySplit="4" topLeftCell="T95" activePane="bottomRight" state="frozen"/>
      <selection pane="topRight" activeCell="B1" sqref="B1"/>
      <selection pane="bottomLeft" activeCell="A5" sqref="A5"/>
      <selection pane="bottomRight" activeCell="X115" sqref="A1:X115"/>
    </sheetView>
  </sheetViews>
  <sheetFormatPr defaultRowHeight="12.5" x14ac:dyDescent="0.25"/>
  <cols>
    <col min="1" max="1" width="13.1796875" bestFit="1" customWidth="1"/>
    <col min="2" max="3" width="15" style="2" bestFit="1" customWidth="1"/>
    <col min="4" max="5" width="15" style="2" customWidth="1"/>
    <col min="6" max="6" width="24.453125" bestFit="1" customWidth="1"/>
    <col min="7" max="7" width="15" bestFit="1" customWidth="1"/>
    <col min="8" max="8" width="19.54296875" bestFit="1" customWidth="1"/>
    <col min="9" max="9" width="13.54296875" customWidth="1"/>
    <col min="10" max="10" width="12.81640625" customWidth="1"/>
    <col min="11" max="11" width="11.453125" bestFit="1" customWidth="1"/>
    <col min="12" max="13" width="11.453125" style="2" customWidth="1"/>
    <col min="15" max="15" width="24.26953125" customWidth="1"/>
    <col min="16" max="16" width="11.54296875" bestFit="1" customWidth="1"/>
    <col min="22" max="22" width="17.81640625" customWidth="1"/>
    <col min="23" max="23" width="17.54296875" customWidth="1"/>
    <col min="25" max="25" width="19.453125" customWidth="1"/>
    <col min="26" max="26" width="15.26953125" customWidth="1"/>
    <col min="27" max="27" width="30.7265625" customWidth="1"/>
    <col min="29" max="29" width="15.54296875" customWidth="1"/>
    <col min="30" max="30" width="15.7265625" customWidth="1"/>
    <col min="34" max="34" width="28.54296875" customWidth="1"/>
    <col min="36" max="36" width="16" customWidth="1"/>
  </cols>
  <sheetData>
    <row r="1" spans="1:36" ht="13" x14ac:dyDescent="0.3">
      <c r="A1" s="1" t="s">
        <v>23</v>
      </c>
      <c r="B1" s="3" t="s">
        <v>20</v>
      </c>
      <c r="C1" s="3" t="s">
        <v>28</v>
      </c>
      <c r="D1" s="3" t="s">
        <v>29</v>
      </c>
      <c r="F1" s="2"/>
      <c r="G1" s="3" t="s">
        <v>19</v>
      </c>
      <c r="H1" s="2"/>
      <c r="I1" s="2"/>
      <c r="J1" s="2"/>
      <c r="K1" s="2"/>
      <c r="L1" s="3" t="s">
        <v>22</v>
      </c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spans="1:36" ht="13" thickBot="1" x14ac:dyDescent="0.3">
      <c r="A2" s="2"/>
      <c r="B2" s="23">
        <v>80</v>
      </c>
      <c r="C2" s="21">
        <f>ROUND(LOOKUP(9999,$C5:$C200),2)</f>
        <v>0</v>
      </c>
      <c r="D2" s="21">
        <v>0</v>
      </c>
      <c r="E2" s="22"/>
      <c r="F2" s="2"/>
      <c r="G2" s="21">
        <f>ROUND(LOOKUP(9999,$H:$H),2)</f>
        <v>2</v>
      </c>
      <c r="H2" s="2"/>
      <c r="I2" s="2"/>
      <c r="J2" s="2"/>
      <c r="K2" s="2"/>
      <c r="L2" s="21">
        <f>STDEV($H:$H)</f>
        <v>0.85634883857767519</v>
      </c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36" ht="13" thickBot="1" x14ac:dyDescent="0.3">
      <c r="A3" s="2"/>
      <c r="F3" s="2"/>
      <c r="G3" s="2"/>
      <c r="H3" s="2"/>
      <c r="I3" s="2"/>
      <c r="J3" s="2"/>
      <c r="K3" s="2"/>
      <c r="N3" s="2"/>
      <c r="O3" s="2"/>
      <c r="P3" s="41">
        <f>COUNTIF(P5:P113,"Y")</f>
        <v>75</v>
      </c>
      <c r="Q3" s="41">
        <f>COUNTIF(Q5:Q113,"Y")</f>
        <v>64</v>
      </c>
      <c r="R3" s="41">
        <f>COUNTIF(R5:R113,"Y")</f>
        <v>38</v>
      </c>
      <c r="S3" s="2"/>
      <c r="T3" s="2"/>
      <c r="U3" s="2"/>
      <c r="V3" s="2"/>
      <c r="W3" s="2"/>
      <c r="X3" s="2"/>
    </row>
    <row r="4" spans="1:36" ht="39" x14ac:dyDescent="0.3">
      <c r="A4" s="3" t="s">
        <v>0</v>
      </c>
      <c r="B4" s="37" t="s">
        <v>18</v>
      </c>
      <c r="C4" s="3" t="s">
        <v>39</v>
      </c>
      <c r="D4" s="3" t="s">
        <v>15</v>
      </c>
      <c r="E4" s="38" t="s">
        <v>21</v>
      </c>
      <c r="F4" s="3" t="s">
        <v>38</v>
      </c>
      <c r="G4" s="3" t="s">
        <v>16</v>
      </c>
      <c r="H4" s="3" t="s">
        <v>37</v>
      </c>
      <c r="I4" s="37" t="s">
        <v>17</v>
      </c>
      <c r="J4" s="3" t="s">
        <v>40</v>
      </c>
      <c r="K4" s="38" t="s">
        <v>14</v>
      </c>
      <c r="L4" s="38" t="s">
        <v>25</v>
      </c>
      <c r="M4" s="38" t="s">
        <v>24</v>
      </c>
      <c r="N4" s="2"/>
      <c r="O4" s="2" t="s">
        <v>44</v>
      </c>
      <c r="P4" s="2" t="s">
        <v>41</v>
      </c>
      <c r="Q4" s="2" t="s">
        <v>42</v>
      </c>
      <c r="R4" s="2" t="s">
        <v>43</v>
      </c>
      <c r="S4" s="2" t="s">
        <v>45</v>
      </c>
      <c r="T4" s="2"/>
      <c r="U4" s="2"/>
      <c r="V4" s="2"/>
      <c r="W4" s="2"/>
      <c r="X4" s="2"/>
    </row>
    <row r="5" spans="1:36" s="2" customFormat="1" ht="38.5" x14ac:dyDescent="0.35">
      <c r="A5" s="33">
        <v>43714</v>
      </c>
      <c r="B5" s="4">
        <v>0</v>
      </c>
      <c r="C5" s="5">
        <f>IF(B5&lt;&gt;"",ROUND(AVERAGE(B5:B5),2)," ")</f>
        <v>0</v>
      </c>
      <c r="D5" s="4">
        <f>IF(I5="","",B5+$B$2)</f>
        <v>80</v>
      </c>
      <c r="E5" s="4"/>
      <c r="F5" s="34" t="str">
        <f>IF(OR(AND(S5="Y",S6="N"),AND(P5="Y",P4="N"),AND(Q5="Y",Q4="N"),AND(R5="Y",R4="N")),TEXT(A5,"mm/dd/yyyyy")," ")</f>
        <v xml:space="preserve"> </v>
      </c>
      <c r="G5" s="4">
        <f t="shared" ref="G5:G68" si="0">IF(I5="","",I5)</f>
        <v>0</v>
      </c>
      <c r="H5" s="5">
        <f>IF(I5="","",ROUND(AVERAGE(G5:G5),2))</f>
        <v>0</v>
      </c>
      <c r="I5" s="4">
        <v>0</v>
      </c>
      <c r="J5" s="2">
        <f>(IF(I5="","",I5))</f>
        <v>0</v>
      </c>
      <c r="K5" s="24"/>
      <c r="L5" s="24"/>
      <c r="M5" s="24"/>
      <c r="O5" s="34"/>
      <c r="P5" s="2" t="str">
        <f t="shared" ref="P5:P68" si="1">IF(L5&gt;E5,"Y","N")</f>
        <v>N</v>
      </c>
      <c r="Q5" s="2" t="str">
        <f>IF(K5&gt;E5,"Y","N")</f>
        <v>N</v>
      </c>
      <c r="R5" s="2" t="str">
        <f>IF(M5&gt;E5,"Y","N")</f>
        <v>N</v>
      </c>
      <c r="S5" s="2" t="str">
        <f>IF(AND(ISBLANK(I6),NOT(ISBLANK(I5))),"Y","N")</f>
        <v>N</v>
      </c>
      <c r="T5" s="2" t="b">
        <f t="shared" ref="T5:T28" si="2">ISBLANK(O5)</f>
        <v>1</v>
      </c>
      <c r="U5" s="2" t="b">
        <f>ISTEXT(O5)</f>
        <v>0</v>
      </c>
      <c r="V5" s="2" t="b">
        <f t="shared" ref="V5:V23" si="3">ISNUMBER(O5)</f>
        <v>0</v>
      </c>
      <c r="W5" s="2" t="b">
        <f>ISBLANK(I5)</f>
        <v>0</v>
      </c>
      <c r="X5" s="2" t="b">
        <f>NOT(ISBLANK(I5))</f>
        <v>1</v>
      </c>
      <c r="Y5" s="3" t="str">
        <f>"4-Week Throughput Average: " &amp; $G$5</f>
        <v>4-Week Throughput Average: 0</v>
      </c>
      <c r="Z5" s="42">
        <f>$G$2</f>
        <v>2</v>
      </c>
      <c r="AA5" s="3" t="str">
        <f>"4-Week Throughput Average at " &amp; TEXT(A5,"mm/dd/yy") &amp; " : " &amp; H5</f>
        <v>4-Week Throughput Average at 09/06/19 : 0</v>
      </c>
      <c r="AB5" s="2">
        <f>J5/D5</f>
        <v>0</v>
      </c>
      <c r="AC5" s="2" t="str">
        <f>"% Scope Complete at "&amp;TEXT(A5,"mm/dd/yy")&amp;" : "&amp; TEXT(J5/D5,"00.0%")</f>
        <v>% Scope Complete at 09/06/19 : 00.0%</v>
      </c>
      <c r="AD5" s="2" t="str">
        <f>"Projected Duration"</f>
        <v>Projected Duration</v>
      </c>
      <c r="AF5" s="2" t="str">
        <f>"Budget Duration"</f>
        <v>Budget Duration</v>
      </c>
      <c r="AH5" s="2" t="str">
        <f>"4-week Average Growth : " &amp; $C$2</f>
        <v>4-week Average Growth : 0</v>
      </c>
      <c r="AJ5" s="2" t="str">
        <f>"4-week Average Growth at " &amp; TEXT(A5,"mm/dd/yyyy") &amp; " : " &amp; C5</f>
        <v>4-week Average Growth at 09/06/2019 : 0</v>
      </c>
    </row>
    <row r="6" spans="1:36" s="2" customFormat="1" ht="38" x14ac:dyDescent="0.3">
      <c r="A6" s="34">
        <v>43721</v>
      </c>
      <c r="B6" s="4"/>
      <c r="C6" s="5" t="str">
        <f>IF(B6&lt;&gt;"",ROUND(AVERAGE(B5:B6),2)," ")</f>
        <v xml:space="preserve"> </v>
      </c>
      <c r="D6" s="4">
        <f t="shared" ref="D6:D69" si="4">IF(I6="","",B6+D5)</f>
        <v>80</v>
      </c>
      <c r="E6" s="4"/>
      <c r="F6" s="34" t="str">
        <f>IF(OR(AND(S6="Y",S7="N"),AND(P6="Y",P5="N"),AND(Q6="Y",Q5="N"),AND(R6="Y",R5="N")),TEXT(A6,"mm/dd/yyyyy")," ")</f>
        <v xml:space="preserve"> </v>
      </c>
      <c r="G6" s="4">
        <f t="shared" si="0"/>
        <v>0</v>
      </c>
      <c r="H6" s="5">
        <f>IF(I6="","",ROUND(AVERAGE(G5:G6),2))</f>
        <v>0</v>
      </c>
      <c r="I6" s="4">
        <v>0</v>
      </c>
      <c r="J6" s="2">
        <f t="shared" ref="J6:J69" si="5">(IF(I6="","",I6+J5))</f>
        <v>0</v>
      </c>
      <c r="K6" s="24"/>
      <c r="L6" s="24"/>
      <c r="M6" s="24"/>
      <c r="O6" s="34"/>
      <c r="P6" s="2" t="str">
        <f t="shared" si="1"/>
        <v>N</v>
      </c>
      <c r="Q6" s="2" t="str">
        <f t="shared" ref="Q6:Q69" si="6">IF(K6&gt;E6,"Y","N")</f>
        <v>N</v>
      </c>
      <c r="R6" s="2" t="str">
        <f t="shared" ref="R6:R69" si="7">IF(M6&gt;E6,"Y","N")</f>
        <v>N</v>
      </c>
      <c r="S6" s="2" t="str">
        <f t="shared" ref="S6:S69" si="8">IF(AND(ISBLANK(I7),NOT(ISBLANK(I6))),"Y","N")</f>
        <v>N</v>
      </c>
      <c r="T6" s="2" t="b">
        <f t="shared" si="2"/>
        <v>1</v>
      </c>
      <c r="U6" s="2" t="b">
        <f t="shared" ref="U6:U69" si="9">ISTEXT(O6)</f>
        <v>0</v>
      </c>
      <c r="V6" s="2" t="b">
        <f t="shared" si="3"/>
        <v>0</v>
      </c>
      <c r="Y6" s="3" t="str">
        <f t="shared" ref="Y6:Y19" si="10">"4-Week Throughput Average: " &amp; $G$5</f>
        <v>4-Week Throughput Average: 0</v>
      </c>
      <c r="Z6" s="42">
        <f t="shared" ref="Z6:Z19" si="11">$G$2</f>
        <v>2</v>
      </c>
      <c r="AA6" s="3" t="str">
        <f t="shared" ref="AA6:AA19" si="12">"4-Week Throughput Average at " &amp; TEXT(A6,"mm/dd/yy") &amp; " : " &amp; H6</f>
        <v>4-Week Throughput Average at 09/13/19 : 0</v>
      </c>
      <c r="AB6" s="2">
        <f t="shared" ref="AB6:AB19" si="13">J6/D6</f>
        <v>0</v>
      </c>
      <c r="AC6" s="2" t="str">
        <f t="shared" ref="AC6:AC19" si="14">"% Scope Complete at "&amp;TEXT(A6,"mm/dd/yy")&amp;" : "&amp; TEXT(J6/D6,"00.0%")</f>
        <v>% Scope Complete at 09/13/19 : 00.0%</v>
      </c>
      <c r="AD6" s="2" t="str">
        <f t="shared" ref="AD6:AD19" si="15">"Projected Duration"</f>
        <v>Projected Duration</v>
      </c>
      <c r="AF6" s="2" t="str">
        <f t="shared" ref="AF6:AF19" si="16">"Budget Duration"</f>
        <v>Budget Duration</v>
      </c>
      <c r="AH6" s="2" t="str">
        <f t="shared" ref="AH6:AH19" si="17">"4-week Average Growth : " &amp; $C$2</f>
        <v>4-week Average Growth : 0</v>
      </c>
      <c r="AJ6" s="2" t="str">
        <f t="shared" ref="AJ6:AJ19" si="18">"4-week Average Growth at " &amp; TEXT(A6,"mm/dd/yyyy") &amp; " : " &amp; C6</f>
        <v xml:space="preserve">4-week Average Growth at 09/13/2019 :  </v>
      </c>
    </row>
    <row r="7" spans="1:36" s="2" customFormat="1" ht="38" x14ac:dyDescent="0.3">
      <c r="A7" s="34">
        <v>43728</v>
      </c>
      <c r="B7" s="4"/>
      <c r="C7" s="5" t="str">
        <f>IF(B7&lt;&gt;"",ROUND(AVERAGE(B5:B7),2)," ")</f>
        <v xml:space="preserve"> </v>
      </c>
      <c r="D7" s="4">
        <f t="shared" si="4"/>
        <v>80</v>
      </c>
      <c r="E7" s="4"/>
      <c r="F7" s="34" t="str">
        <f t="shared" ref="F7:F70" si="19">IF(OR(AND(S7="Y",S8="N"),AND(P7="Y",P6="N"),AND(Q7="Y",Q6="N"),AND(R7="Y",R6="N")),TEXT(A7,"mm/dd/yyyyy")," ")</f>
        <v xml:space="preserve"> </v>
      </c>
      <c r="G7" s="4">
        <f t="shared" si="0"/>
        <v>0</v>
      </c>
      <c r="H7" s="5">
        <f>IF(I7="","",ROUND(AVERAGE(G5:G7),2))</f>
        <v>0</v>
      </c>
      <c r="I7" s="4">
        <v>0</v>
      </c>
      <c r="J7" s="2">
        <f t="shared" si="5"/>
        <v>0</v>
      </c>
      <c r="K7" s="24"/>
      <c r="L7" s="24"/>
      <c r="M7" s="24"/>
      <c r="O7" s="34"/>
      <c r="P7" s="2" t="str">
        <f t="shared" si="1"/>
        <v>N</v>
      </c>
      <c r="Q7" s="2" t="str">
        <f t="shared" si="6"/>
        <v>N</v>
      </c>
      <c r="R7" s="2" t="str">
        <f t="shared" si="7"/>
        <v>N</v>
      </c>
      <c r="S7" s="2" t="str">
        <f t="shared" si="8"/>
        <v>N</v>
      </c>
      <c r="T7" s="2" t="b">
        <f t="shared" si="2"/>
        <v>1</v>
      </c>
      <c r="U7" s="2" t="b">
        <f t="shared" si="9"/>
        <v>0</v>
      </c>
      <c r="V7" s="2" t="b">
        <f t="shared" si="3"/>
        <v>0</v>
      </c>
      <c r="X7" s="2">
        <f ca="1">OFFSET($J$5,,,COUNTIF($J$5:$J$113,"&lt;&gt;"))</f>
        <v>0</v>
      </c>
      <c r="Y7" s="3" t="str">
        <f t="shared" si="10"/>
        <v>4-Week Throughput Average: 0</v>
      </c>
      <c r="Z7" s="42">
        <f t="shared" si="11"/>
        <v>2</v>
      </c>
      <c r="AA7" s="3" t="str">
        <f t="shared" si="12"/>
        <v>4-Week Throughput Average at 09/20/19 : 0</v>
      </c>
      <c r="AB7" s="2">
        <f t="shared" si="13"/>
        <v>0</v>
      </c>
      <c r="AC7" s="2" t="str">
        <f t="shared" si="14"/>
        <v>% Scope Complete at 09/20/19 : 00.0%</v>
      </c>
      <c r="AD7" s="2" t="str">
        <f t="shared" si="15"/>
        <v>Projected Duration</v>
      </c>
      <c r="AF7" s="2" t="str">
        <f t="shared" si="16"/>
        <v>Budget Duration</v>
      </c>
      <c r="AH7" s="2" t="str">
        <f t="shared" si="17"/>
        <v>4-week Average Growth : 0</v>
      </c>
      <c r="AJ7" s="2" t="str">
        <f t="shared" si="18"/>
        <v xml:space="preserve">4-week Average Growth at 09/20/2019 :  </v>
      </c>
    </row>
    <row r="8" spans="1:36" s="2" customFormat="1" ht="38" x14ac:dyDescent="0.3">
      <c r="A8" s="34">
        <v>43735</v>
      </c>
      <c r="B8" s="4"/>
      <c r="C8" s="5" t="str">
        <f>IF(B8="","",ROUND(AVERAGE(B5:B8),2))</f>
        <v/>
      </c>
      <c r="D8" s="4">
        <f t="shared" si="4"/>
        <v>80</v>
      </c>
      <c r="E8" s="4"/>
      <c r="F8" s="34" t="str">
        <f t="shared" si="19"/>
        <v xml:space="preserve"> </v>
      </c>
      <c r="G8" s="4">
        <f t="shared" si="0"/>
        <v>0</v>
      </c>
      <c r="H8" s="5">
        <f>IF(I8="","",ROUND(AVERAGE(G5:G8),2))</f>
        <v>0</v>
      </c>
      <c r="I8" s="4">
        <v>0</v>
      </c>
      <c r="J8" s="2">
        <f t="shared" si="5"/>
        <v>0</v>
      </c>
      <c r="K8" s="24"/>
      <c r="L8" s="24"/>
      <c r="M8" s="24"/>
      <c r="O8" s="34"/>
      <c r="P8" s="2" t="str">
        <f t="shared" si="1"/>
        <v>N</v>
      </c>
      <c r="Q8" s="2" t="str">
        <f t="shared" si="6"/>
        <v>N</v>
      </c>
      <c r="R8" s="2" t="str">
        <f t="shared" si="7"/>
        <v>N</v>
      </c>
      <c r="S8" s="2" t="str">
        <f t="shared" si="8"/>
        <v>N</v>
      </c>
      <c r="T8" s="2" t="b">
        <f t="shared" si="2"/>
        <v>1</v>
      </c>
      <c r="U8" s="2" t="b">
        <f t="shared" si="9"/>
        <v>0</v>
      </c>
      <c r="V8" s="2" t="b">
        <f t="shared" si="3"/>
        <v>0</v>
      </c>
      <c r="Y8" s="3" t="str">
        <f t="shared" si="10"/>
        <v>4-Week Throughput Average: 0</v>
      </c>
      <c r="Z8" s="42">
        <f t="shared" si="11"/>
        <v>2</v>
      </c>
      <c r="AA8" s="3" t="str">
        <f t="shared" si="12"/>
        <v>4-Week Throughput Average at 09/27/19 : 0</v>
      </c>
      <c r="AB8" s="2">
        <f t="shared" si="13"/>
        <v>0</v>
      </c>
      <c r="AC8" s="2" t="str">
        <f t="shared" si="14"/>
        <v>% Scope Complete at 09/27/19 : 00.0%</v>
      </c>
      <c r="AD8" s="2" t="str">
        <f t="shared" si="15"/>
        <v>Projected Duration</v>
      </c>
      <c r="AF8" s="2" t="str">
        <f t="shared" si="16"/>
        <v>Budget Duration</v>
      </c>
      <c r="AH8" s="2" t="str">
        <f t="shared" si="17"/>
        <v>4-week Average Growth : 0</v>
      </c>
      <c r="AJ8" s="2" t="str">
        <f t="shared" si="18"/>
        <v xml:space="preserve">4-week Average Growth at 09/27/2019 : </v>
      </c>
    </row>
    <row r="9" spans="1:36" s="2" customFormat="1" ht="38" x14ac:dyDescent="0.3">
      <c r="A9" s="34">
        <v>43742</v>
      </c>
      <c r="B9" s="4"/>
      <c r="C9" s="5" t="str">
        <f t="shared" ref="C9:C72" si="20">IF(B9="","",ROUND(AVERAGE(B6:B9),2))</f>
        <v/>
      </c>
      <c r="D9" s="4">
        <f t="shared" si="4"/>
        <v>80</v>
      </c>
      <c r="E9" s="4"/>
      <c r="F9" s="34" t="str">
        <f t="shared" si="19"/>
        <v xml:space="preserve"> </v>
      </c>
      <c r="G9" s="4">
        <f t="shared" si="0"/>
        <v>0</v>
      </c>
      <c r="H9" s="5">
        <f t="shared" ref="H9:H72" si="21">IF(I9="","",ROUND(AVERAGE(G6:G9),2))</f>
        <v>0</v>
      </c>
      <c r="I9" s="4">
        <v>0</v>
      </c>
      <c r="J9" s="2">
        <f t="shared" si="5"/>
        <v>0</v>
      </c>
      <c r="K9" s="24"/>
      <c r="L9" s="24"/>
      <c r="M9" s="24"/>
      <c r="O9" s="34"/>
      <c r="P9" s="2" t="str">
        <f t="shared" si="1"/>
        <v>N</v>
      </c>
      <c r="Q9" s="2" t="str">
        <f t="shared" si="6"/>
        <v>N</v>
      </c>
      <c r="R9" s="2" t="str">
        <f t="shared" si="7"/>
        <v>N</v>
      </c>
      <c r="S9" s="2" t="str">
        <f t="shared" si="8"/>
        <v>N</v>
      </c>
      <c r="T9" s="2" t="b">
        <f t="shared" si="2"/>
        <v>1</v>
      </c>
      <c r="U9" s="2" t="b">
        <f t="shared" si="9"/>
        <v>0</v>
      </c>
      <c r="V9" s="2" t="b">
        <f t="shared" si="3"/>
        <v>0</v>
      </c>
      <c r="Y9" s="3" t="str">
        <f t="shared" si="10"/>
        <v>4-Week Throughput Average: 0</v>
      </c>
      <c r="Z9" s="42">
        <f t="shared" si="11"/>
        <v>2</v>
      </c>
      <c r="AA9" s="3" t="str">
        <f t="shared" si="12"/>
        <v>4-Week Throughput Average at 10/04/19 : 0</v>
      </c>
      <c r="AB9" s="2">
        <f t="shared" si="13"/>
        <v>0</v>
      </c>
      <c r="AC9" s="2" t="str">
        <f t="shared" si="14"/>
        <v>% Scope Complete at 10/04/19 : 00.0%</v>
      </c>
      <c r="AD9" s="2" t="str">
        <f t="shared" si="15"/>
        <v>Projected Duration</v>
      </c>
      <c r="AF9" s="2" t="str">
        <f t="shared" si="16"/>
        <v>Budget Duration</v>
      </c>
      <c r="AH9" s="2" t="str">
        <f t="shared" si="17"/>
        <v>4-week Average Growth : 0</v>
      </c>
      <c r="AJ9" s="2" t="str">
        <f t="shared" si="18"/>
        <v xml:space="preserve">4-week Average Growth at 10/04/2019 : </v>
      </c>
    </row>
    <row r="10" spans="1:36" s="2" customFormat="1" ht="38" x14ac:dyDescent="0.3">
      <c r="A10" s="34">
        <v>43749</v>
      </c>
      <c r="B10" s="4"/>
      <c r="C10" s="5" t="str">
        <f t="shared" si="20"/>
        <v/>
      </c>
      <c r="D10" s="4">
        <f t="shared" si="4"/>
        <v>80</v>
      </c>
      <c r="E10" s="4"/>
      <c r="F10" s="34" t="str">
        <f t="shared" si="19"/>
        <v xml:space="preserve"> </v>
      </c>
      <c r="G10" s="4">
        <f t="shared" si="0"/>
        <v>2</v>
      </c>
      <c r="H10" s="5">
        <f t="shared" si="21"/>
        <v>0.5</v>
      </c>
      <c r="I10" s="4">
        <v>2</v>
      </c>
      <c r="J10" s="2">
        <f t="shared" si="5"/>
        <v>2</v>
      </c>
      <c r="K10" s="24"/>
      <c r="L10" s="24"/>
      <c r="M10" s="24"/>
      <c r="O10" s="34"/>
      <c r="P10" s="2" t="str">
        <f t="shared" si="1"/>
        <v>N</v>
      </c>
      <c r="Q10" s="2" t="str">
        <f t="shared" si="6"/>
        <v>N</v>
      </c>
      <c r="R10" s="2" t="str">
        <f t="shared" si="7"/>
        <v>N</v>
      </c>
      <c r="S10" s="2" t="str">
        <f t="shared" si="8"/>
        <v>N</v>
      </c>
      <c r="T10" s="2" t="b">
        <f t="shared" si="2"/>
        <v>1</v>
      </c>
      <c r="U10" s="2" t="b">
        <f t="shared" si="9"/>
        <v>0</v>
      </c>
      <c r="V10" s="2" t="b">
        <f t="shared" si="3"/>
        <v>0</v>
      </c>
      <c r="Y10" s="3" t="str">
        <f t="shared" si="10"/>
        <v>4-Week Throughput Average: 0</v>
      </c>
      <c r="Z10" s="42">
        <f t="shared" si="11"/>
        <v>2</v>
      </c>
      <c r="AA10" s="3" t="str">
        <f t="shared" si="12"/>
        <v>4-Week Throughput Average at 10/11/19 : 0.5</v>
      </c>
      <c r="AB10" s="2">
        <f t="shared" si="13"/>
        <v>2.5000000000000001E-2</v>
      </c>
      <c r="AC10" s="2" t="str">
        <f t="shared" si="14"/>
        <v>% Scope Complete at 10/11/19 : 02.5%</v>
      </c>
      <c r="AD10" s="2" t="str">
        <f t="shared" si="15"/>
        <v>Projected Duration</v>
      </c>
      <c r="AF10" s="2" t="str">
        <f t="shared" si="16"/>
        <v>Budget Duration</v>
      </c>
      <c r="AH10" s="2" t="str">
        <f t="shared" si="17"/>
        <v>4-week Average Growth : 0</v>
      </c>
      <c r="AJ10" s="2" t="str">
        <f t="shared" si="18"/>
        <v xml:space="preserve">4-week Average Growth at 10/11/2019 : </v>
      </c>
    </row>
    <row r="11" spans="1:36" s="2" customFormat="1" ht="38" x14ac:dyDescent="0.3">
      <c r="A11" s="34">
        <v>43756</v>
      </c>
      <c r="B11" s="4"/>
      <c r="C11" s="5" t="str">
        <f t="shared" si="20"/>
        <v/>
      </c>
      <c r="D11" s="4">
        <f t="shared" si="4"/>
        <v>80</v>
      </c>
      <c r="E11" s="4"/>
      <c r="F11" s="34" t="str">
        <f t="shared" si="19"/>
        <v xml:space="preserve"> </v>
      </c>
      <c r="G11" s="4">
        <f t="shared" si="0"/>
        <v>2</v>
      </c>
      <c r="H11" s="5">
        <f t="shared" si="21"/>
        <v>1</v>
      </c>
      <c r="I11" s="4">
        <v>2</v>
      </c>
      <c r="J11" s="2">
        <f t="shared" si="5"/>
        <v>4</v>
      </c>
      <c r="K11" s="24"/>
      <c r="L11" s="24"/>
      <c r="M11" s="24"/>
      <c r="O11" s="34"/>
      <c r="P11" s="2" t="str">
        <f t="shared" si="1"/>
        <v>N</v>
      </c>
      <c r="Q11" s="2" t="str">
        <f t="shared" si="6"/>
        <v>N</v>
      </c>
      <c r="R11" s="2" t="str">
        <f t="shared" si="7"/>
        <v>N</v>
      </c>
      <c r="S11" s="2" t="str">
        <f t="shared" si="8"/>
        <v>N</v>
      </c>
      <c r="T11" s="2" t="b">
        <f t="shared" si="2"/>
        <v>1</v>
      </c>
      <c r="U11" s="2" t="b">
        <f t="shared" si="9"/>
        <v>0</v>
      </c>
      <c r="V11" s="2" t="b">
        <f t="shared" si="3"/>
        <v>0</v>
      </c>
      <c r="Y11" s="3" t="str">
        <f t="shared" si="10"/>
        <v>4-Week Throughput Average: 0</v>
      </c>
      <c r="Z11" s="42">
        <f t="shared" si="11"/>
        <v>2</v>
      </c>
      <c r="AA11" s="3" t="str">
        <f t="shared" si="12"/>
        <v>4-Week Throughput Average at 10/18/19 : 1</v>
      </c>
      <c r="AB11" s="2">
        <f t="shared" si="13"/>
        <v>0.05</v>
      </c>
      <c r="AC11" s="2" t="str">
        <f t="shared" si="14"/>
        <v>% Scope Complete at 10/18/19 : 05.0%</v>
      </c>
      <c r="AD11" s="2" t="str">
        <f t="shared" si="15"/>
        <v>Projected Duration</v>
      </c>
      <c r="AF11" s="2" t="str">
        <f t="shared" si="16"/>
        <v>Budget Duration</v>
      </c>
      <c r="AH11" s="2" t="str">
        <f t="shared" si="17"/>
        <v>4-week Average Growth : 0</v>
      </c>
      <c r="AJ11" s="2" t="str">
        <f t="shared" si="18"/>
        <v xml:space="preserve">4-week Average Growth at 10/18/2019 : </v>
      </c>
    </row>
    <row r="12" spans="1:36" s="2" customFormat="1" ht="38" x14ac:dyDescent="0.3">
      <c r="A12" s="34">
        <v>43763</v>
      </c>
      <c r="B12" s="4"/>
      <c r="C12" s="5" t="str">
        <f t="shared" si="20"/>
        <v/>
      </c>
      <c r="D12" s="4">
        <f t="shared" si="4"/>
        <v>80</v>
      </c>
      <c r="E12" s="4"/>
      <c r="F12" s="34" t="str">
        <f t="shared" si="19"/>
        <v xml:space="preserve"> </v>
      </c>
      <c r="G12" s="4">
        <f t="shared" si="0"/>
        <v>2</v>
      </c>
      <c r="H12" s="5">
        <f t="shared" si="21"/>
        <v>1.5</v>
      </c>
      <c r="I12" s="4">
        <v>2</v>
      </c>
      <c r="J12" s="2">
        <f t="shared" si="5"/>
        <v>6</v>
      </c>
      <c r="K12" s="24"/>
      <c r="L12" s="24"/>
      <c r="M12" s="24"/>
      <c r="O12" s="34"/>
      <c r="P12" s="2" t="str">
        <f t="shared" si="1"/>
        <v>N</v>
      </c>
      <c r="Q12" s="2" t="str">
        <f t="shared" si="6"/>
        <v>N</v>
      </c>
      <c r="R12" s="2" t="str">
        <f t="shared" si="7"/>
        <v>N</v>
      </c>
      <c r="S12" s="2" t="str">
        <f t="shared" si="8"/>
        <v>N</v>
      </c>
      <c r="T12" s="2" t="b">
        <f t="shared" si="2"/>
        <v>1</v>
      </c>
      <c r="U12" s="2" t="b">
        <f t="shared" si="9"/>
        <v>0</v>
      </c>
      <c r="V12" s="2" t="b">
        <f t="shared" si="3"/>
        <v>0</v>
      </c>
      <c r="Y12" s="3" t="str">
        <f t="shared" si="10"/>
        <v>4-Week Throughput Average: 0</v>
      </c>
      <c r="Z12" s="42">
        <f t="shared" si="11"/>
        <v>2</v>
      </c>
      <c r="AA12" s="3" t="str">
        <f t="shared" si="12"/>
        <v>4-Week Throughput Average at 10/25/19 : 1.5</v>
      </c>
      <c r="AB12" s="2">
        <f t="shared" si="13"/>
        <v>7.4999999999999997E-2</v>
      </c>
      <c r="AC12" s="2" t="str">
        <f t="shared" si="14"/>
        <v>% Scope Complete at 10/25/19 : 07.5%</v>
      </c>
      <c r="AD12" s="2" t="str">
        <f t="shared" si="15"/>
        <v>Projected Duration</v>
      </c>
      <c r="AF12" s="2" t="str">
        <f t="shared" si="16"/>
        <v>Budget Duration</v>
      </c>
      <c r="AH12" s="2" t="str">
        <f t="shared" si="17"/>
        <v>4-week Average Growth : 0</v>
      </c>
      <c r="AJ12" s="2" t="str">
        <f t="shared" si="18"/>
        <v xml:space="preserve">4-week Average Growth at 10/25/2019 : </v>
      </c>
    </row>
    <row r="13" spans="1:36" s="2" customFormat="1" ht="38" x14ac:dyDescent="0.3">
      <c r="A13" s="34">
        <v>43770</v>
      </c>
      <c r="B13" s="4"/>
      <c r="C13" s="5" t="str">
        <f t="shared" si="20"/>
        <v/>
      </c>
      <c r="D13" s="4">
        <f t="shared" si="4"/>
        <v>80</v>
      </c>
      <c r="E13" s="4"/>
      <c r="F13" s="34" t="str">
        <f t="shared" si="19"/>
        <v xml:space="preserve"> </v>
      </c>
      <c r="G13" s="4">
        <f t="shared" si="0"/>
        <v>2</v>
      </c>
      <c r="H13" s="5">
        <f t="shared" si="21"/>
        <v>2</v>
      </c>
      <c r="I13" s="4">
        <v>2</v>
      </c>
      <c r="J13" s="2">
        <f t="shared" si="5"/>
        <v>8</v>
      </c>
      <c r="K13" s="24"/>
      <c r="L13" s="24"/>
      <c r="M13" s="24"/>
      <c r="O13" s="34"/>
      <c r="P13" s="2" t="str">
        <f t="shared" si="1"/>
        <v>N</v>
      </c>
      <c r="Q13" s="2" t="str">
        <f t="shared" si="6"/>
        <v>N</v>
      </c>
      <c r="R13" s="2" t="str">
        <f t="shared" si="7"/>
        <v>N</v>
      </c>
      <c r="S13" s="2" t="str">
        <f t="shared" si="8"/>
        <v>N</v>
      </c>
      <c r="T13" s="2" t="b">
        <f t="shared" si="2"/>
        <v>1</v>
      </c>
      <c r="U13" s="2" t="b">
        <f t="shared" si="9"/>
        <v>0</v>
      </c>
      <c r="V13" s="2" t="b">
        <f t="shared" si="3"/>
        <v>0</v>
      </c>
      <c r="Y13" s="3" t="str">
        <f t="shared" si="10"/>
        <v>4-Week Throughput Average: 0</v>
      </c>
      <c r="Z13" s="42">
        <f t="shared" si="11"/>
        <v>2</v>
      </c>
      <c r="AA13" s="3" t="str">
        <f t="shared" si="12"/>
        <v>4-Week Throughput Average at 11/01/19 : 2</v>
      </c>
      <c r="AB13" s="2">
        <f t="shared" si="13"/>
        <v>0.1</v>
      </c>
      <c r="AC13" s="2" t="str">
        <f t="shared" si="14"/>
        <v>% Scope Complete at 11/01/19 : 10.0%</v>
      </c>
      <c r="AD13" s="2" t="str">
        <f t="shared" si="15"/>
        <v>Projected Duration</v>
      </c>
      <c r="AF13" s="2" t="str">
        <f t="shared" si="16"/>
        <v>Budget Duration</v>
      </c>
      <c r="AH13" s="2" t="str">
        <f t="shared" si="17"/>
        <v>4-week Average Growth : 0</v>
      </c>
      <c r="AJ13" s="2" t="str">
        <f t="shared" si="18"/>
        <v xml:space="preserve">4-week Average Growth at 11/01/2019 : </v>
      </c>
    </row>
    <row r="14" spans="1:36" s="2" customFormat="1" ht="26" x14ac:dyDescent="0.3">
      <c r="A14" s="34">
        <v>43777</v>
      </c>
      <c r="B14" s="4"/>
      <c r="C14" s="5" t="str">
        <f t="shared" si="20"/>
        <v/>
      </c>
      <c r="D14" s="4">
        <f t="shared" si="4"/>
        <v>80</v>
      </c>
      <c r="E14" s="4">
        <f t="shared" ref="E7:E70" si="22">IF(I14&lt;&gt;"",IF(D15="",D14+$C$2,""),E13+$C$2)</f>
        <v>80</v>
      </c>
      <c r="F14" s="34" t="str">
        <f t="shared" si="19"/>
        <v>11/08/2019</v>
      </c>
      <c r="G14" s="4">
        <f t="shared" si="0"/>
        <v>2</v>
      </c>
      <c r="H14" s="5">
        <f t="shared" si="21"/>
        <v>2</v>
      </c>
      <c r="I14" s="4">
        <v>2</v>
      </c>
      <c r="J14" s="2">
        <f t="shared" si="5"/>
        <v>10</v>
      </c>
      <c r="K14" s="24">
        <f t="shared" ref="K6:K69" si="23">IF(I14&lt;&gt;"",IF(D15="",J14,""),K13+$G$2)</f>
        <v>10</v>
      </c>
      <c r="L14" s="24">
        <f t="shared" ref="L6:L69" si="24">IF(I14&lt;&gt;"",IF(D15="",J14,""),L13+$G$2+$L$2)</f>
        <v>10</v>
      </c>
      <c r="M14" s="24">
        <f t="shared" ref="M6:M69" si="25">IF(J14&lt;&gt;"",IF(D15="",K14,""),M13+$G$2-$L$2)</f>
        <v>10</v>
      </c>
      <c r="O14" s="34">
        <f t="shared" ref="O5:O68" si="26">IF(F14&lt;&gt; " ",DATEVALUE(F14)," ")</f>
        <v>43777</v>
      </c>
      <c r="P14" s="2" t="str">
        <f t="shared" si="1"/>
        <v>N</v>
      </c>
      <c r="Q14" s="2" t="str">
        <f t="shared" si="6"/>
        <v>N</v>
      </c>
      <c r="R14" s="2" t="str">
        <f t="shared" si="7"/>
        <v>N</v>
      </c>
      <c r="S14" s="2" t="str">
        <f t="shared" si="8"/>
        <v>Y</v>
      </c>
      <c r="T14" s="2" t="b">
        <f t="shared" si="2"/>
        <v>0</v>
      </c>
      <c r="U14" s="2" t="b">
        <f t="shared" si="9"/>
        <v>0</v>
      </c>
      <c r="V14" s="2" t="b">
        <f t="shared" si="3"/>
        <v>1</v>
      </c>
      <c r="Y14" s="3" t="str">
        <f t="shared" si="10"/>
        <v>4-Week Throughput Average: 0</v>
      </c>
      <c r="Z14" s="42">
        <f t="shared" si="11"/>
        <v>2</v>
      </c>
      <c r="AA14" s="3" t="str">
        <f t="shared" si="12"/>
        <v>4-Week Throughput Average at 11/08/19 : 2</v>
      </c>
      <c r="AB14" s="2">
        <f t="shared" si="13"/>
        <v>0.125</v>
      </c>
      <c r="AC14" s="2" t="str">
        <f t="shared" si="14"/>
        <v>% Scope Complete at 11/08/19 : 12.5%</v>
      </c>
      <c r="AD14" s="2" t="str">
        <f t="shared" si="15"/>
        <v>Projected Duration</v>
      </c>
      <c r="AF14" s="2" t="str">
        <f t="shared" si="16"/>
        <v>Budget Duration</v>
      </c>
      <c r="AH14" s="2" t="str">
        <f t="shared" si="17"/>
        <v>4-week Average Growth : 0</v>
      </c>
      <c r="AJ14" s="2" t="str">
        <f t="shared" si="18"/>
        <v xml:space="preserve">4-week Average Growth at 11/08/2019 : </v>
      </c>
    </row>
    <row r="15" spans="1:36" s="2" customFormat="1" ht="26" x14ac:dyDescent="0.3">
      <c r="A15" s="34">
        <v>43784</v>
      </c>
      <c r="B15" s="4"/>
      <c r="C15" s="5" t="str">
        <f t="shared" si="20"/>
        <v/>
      </c>
      <c r="D15" s="4"/>
      <c r="E15" s="4">
        <f t="shared" si="22"/>
        <v>80</v>
      </c>
      <c r="F15" s="34" t="str">
        <f t="shared" si="19"/>
        <v xml:space="preserve"> </v>
      </c>
      <c r="G15" s="4" t="str">
        <f t="shared" si="0"/>
        <v/>
      </c>
      <c r="H15" s="5" t="str">
        <f t="shared" si="21"/>
        <v/>
      </c>
      <c r="I15" s="4"/>
      <c r="K15" s="24">
        <f t="shared" si="23"/>
        <v>12</v>
      </c>
      <c r="L15" s="24">
        <f t="shared" si="24"/>
        <v>12.856348838577675</v>
      </c>
      <c r="M15" s="24">
        <f t="shared" si="25"/>
        <v>11.143651161422325</v>
      </c>
      <c r="O15" s="34"/>
      <c r="P15" s="2" t="str">
        <f t="shared" si="1"/>
        <v>N</v>
      </c>
      <c r="Q15" s="2" t="str">
        <f t="shared" si="6"/>
        <v>N</v>
      </c>
      <c r="R15" s="2" t="str">
        <f t="shared" si="7"/>
        <v>N</v>
      </c>
      <c r="S15" s="2" t="str">
        <f t="shared" si="8"/>
        <v>N</v>
      </c>
      <c r="T15" s="2" t="b">
        <f t="shared" si="2"/>
        <v>1</v>
      </c>
      <c r="U15" s="2" t="b">
        <f t="shared" si="9"/>
        <v>0</v>
      </c>
      <c r="V15" s="2" t="b">
        <f t="shared" si="3"/>
        <v>0</v>
      </c>
      <c r="Y15" s="3" t="str">
        <f t="shared" si="10"/>
        <v>4-Week Throughput Average: 0</v>
      </c>
      <c r="Z15" s="42">
        <f t="shared" si="11"/>
        <v>2</v>
      </c>
      <c r="AA15" s="3" t="str">
        <f t="shared" si="12"/>
        <v xml:space="preserve">4-Week Throughput Average at 11/15/19 : </v>
      </c>
      <c r="AB15" s="2" t="e">
        <f t="shared" si="13"/>
        <v>#DIV/0!</v>
      </c>
      <c r="AC15" s="2" t="e">
        <f t="shared" si="14"/>
        <v>#DIV/0!</v>
      </c>
      <c r="AD15" s="2" t="str">
        <f t="shared" si="15"/>
        <v>Projected Duration</v>
      </c>
      <c r="AF15" s="2" t="str">
        <f t="shared" si="16"/>
        <v>Budget Duration</v>
      </c>
      <c r="AH15" s="2" t="str">
        <f t="shared" si="17"/>
        <v>4-week Average Growth : 0</v>
      </c>
      <c r="AJ15" s="2" t="str">
        <f t="shared" si="18"/>
        <v xml:space="preserve">4-week Average Growth at 11/15/2019 : </v>
      </c>
    </row>
    <row r="16" spans="1:36" s="2" customFormat="1" ht="26" x14ac:dyDescent="0.3">
      <c r="A16" s="34">
        <v>43791</v>
      </c>
      <c r="B16" s="4"/>
      <c r="C16" s="5" t="str">
        <f t="shared" si="20"/>
        <v/>
      </c>
      <c r="D16" s="4"/>
      <c r="E16" s="4">
        <f t="shared" si="22"/>
        <v>80</v>
      </c>
      <c r="F16" s="34" t="str">
        <f t="shared" si="19"/>
        <v xml:space="preserve"> </v>
      </c>
      <c r="G16" s="4" t="str">
        <f t="shared" si="0"/>
        <v/>
      </c>
      <c r="H16" s="5" t="str">
        <f t="shared" si="21"/>
        <v/>
      </c>
      <c r="I16" s="4"/>
      <c r="K16" s="24">
        <f t="shared" si="23"/>
        <v>14</v>
      </c>
      <c r="L16" s="24">
        <f t="shared" si="24"/>
        <v>15.712697677155351</v>
      </c>
      <c r="M16" s="24">
        <f t="shared" si="25"/>
        <v>12.287302322844649</v>
      </c>
      <c r="O16" s="34"/>
      <c r="P16" s="2" t="str">
        <f t="shared" si="1"/>
        <v>N</v>
      </c>
      <c r="Q16" s="2" t="str">
        <f t="shared" si="6"/>
        <v>N</v>
      </c>
      <c r="R16" s="2" t="str">
        <f t="shared" si="7"/>
        <v>N</v>
      </c>
      <c r="S16" s="2" t="str">
        <f t="shared" si="8"/>
        <v>N</v>
      </c>
      <c r="T16" s="2" t="b">
        <f t="shared" si="2"/>
        <v>1</v>
      </c>
      <c r="U16" s="2" t="b">
        <f t="shared" si="9"/>
        <v>0</v>
      </c>
      <c r="V16" s="2" t="b">
        <f t="shared" si="3"/>
        <v>0</v>
      </c>
      <c r="Y16" s="3" t="str">
        <f t="shared" si="10"/>
        <v>4-Week Throughput Average: 0</v>
      </c>
      <c r="Z16" s="42">
        <f t="shared" si="11"/>
        <v>2</v>
      </c>
      <c r="AA16" s="3" t="str">
        <f t="shared" si="12"/>
        <v xml:space="preserve">4-Week Throughput Average at 11/22/19 : </v>
      </c>
      <c r="AB16" s="2" t="e">
        <f t="shared" si="13"/>
        <v>#DIV/0!</v>
      </c>
      <c r="AC16" s="2" t="e">
        <f t="shared" si="14"/>
        <v>#DIV/0!</v>
      </c>
      <c r="AD16" s="2" t="str">
        <f t="shared" si="15"/>
        <v>Projected Duration</v>
      </c>
      <c r="AF16" s="2" t="str">
        <f t="shared" si="16"/>
        <v>Budget Duration</v>
      </c>
      <c r="AH16" s="2" t="str">
        <f t="shared" si="17"/>
        <v>4-week Average Growth : 0</v>
      </c>
      <c r="AJ16" s="2" t="str">
        <f t="shared" si="18"/>
        <v xml:space="preserve">4-week Average Growth at 11/22/2019 : </v>
      </c>
    </row>
    <row r="17" spans="1:36" s="2" customFormat="1" ht="26" x14ac:dyDescent="0.3">
      <c r="A17" s="34">
        <v>43798</v>
      </c>
      <c r="B17" s="4"/>
      <c r="C17" s="5" t="str">
        <f t="shared" si="20"/>
        <v/>
      </c>
      <c r="D17" s="4"/>
      <c r="E17" s="4">
        <f t="shared" si="22"/>
        <v>80</v>
      </c>
      <c r="F17" s="34" t="str">
        <f t="shared" si="19"/>
        <v xml:space="preserve"> </v>
      </c>
      <c r="G17" s="4" t="str">
        <f t="shared" si="0"/>
        <v/>
      </c>
      <c r="H17" s="5" t="str">
        <f t="shared" si="21"/>
        <v/>
      </c>
      <c r="I17" s="4"/>
      <c r="K17" s="24">
        <f t="shared" si="23"/>
        <v>16</v>
      </c>
      <c r="L17" s="24">
        <f t="shared" si="24"/>
        <v>18.569046515733024</v>
      </c>
      <c r="M17" s="24">
        <f t="shared" si="25"/>
        <v>13.430953484266974</v>
      </c>
      <c r="O17" s="34"/>
      <c r="P17" s="2" t="str">
        <f t="shared" si="1"/>
        <v>N</v>
      </c>
      <c r="Q17" s="2" t="str">
        <f t="shared" si="6"/>
        <v>N</v>
      </c>
      <c r="R17" s="2" t="str">
        <f t="shared" si="7"/>
        <v>N</v>
      </c>
      <c r="S17" s="2" t="str">
        <f t="shared" si="8"/>
        <v>N</v>
      </c>
      <c r="T17" s="2" t="b">
        <f t="shared" si="2"/>
        <v>1</v>
      </c>
      <c r="U17" s="2" t="b">
        <f t="shared" si="9"/>
        <v>0</v>
      </c>
      <c r="V17" s="2" t="b">
        <f t="shared" si="3"/>
        <v>0</v>
      </c>
      <c r="Y17" s="3" t="str">
        <f t="shared" si="10"/>
        <v>4-Week Throughput Average: 0</v>
      </c>
      <c r="Z17" s="42">
        <f t="shared" si="11"/>
        <v>2</v>
      </c>
      <c r="AA17" s="3" t="str">
        <f t="shared" si="12"/>
        <v xml:space="preserve">4-Week Throughput Average at 11/29/19 : </v>
      </c>
      <c r="AB17" s="2" t="e">
        <f t="shared" si="13"/>
        <v>#DIV/0!</v>
      </c>
      <c r="AC17" s="2" t="e">
        <f t="shared" si="14"/>
        <v>#DIV/0!</v>
      </c>
      <c r="AD17" s="2" t="str">
        <f t="shared" si="15"/>
        <v>Projected Duration</v>
      </c>
      <c r="AF17" s="2" t="str">
        <f t="shared" si="16"/>
        <v>Budget Duration</v>
      </c>
      <c r="AH17" s="2" t="str">
        <f t="shared" si="17"/>
        <v>4-week Average Growth : 0</v>
      </c>
      <c r="AJ17" s="2" t="str">
        <f t="shared" si="18"/>
        <v xml:space="preserve">4-week Average Growth at 11/29/2019 : </v>
      </c>
    </row>
    <row r="18" spans="1:36" ht="26" x14ac:dyDescent="0.3">
      <c r="A18" s="34">
        <v>43805</v>
      </c>
      <c r="B18" s="4"/>
      <c r="C18" s="5" t="str">
        <f t="shared" si="20"/>
        <v/>
      </c>
      <c r="D18" s="4"/>
      <c r="E18" s="4">
        <f t="shared" si="22"/>
        <v>80</v>
      </c>
      <c r="F18" s="34" t="str">
        <f t="shared" si="19"/>
        <v xml:space="preserve"> </v>
      </c>
      <c r="G18" s="4" t="str">
        <f t="shared" si="0"/>
        <v/>
      </c>
      <c r="H18" s="5" t="str">
        <f t="shared" si="21"/>
        <v/>
      </c>
      <c r="I18" s="4"/>
      <c r="J18" s="2"/>
      <c r="K18" s="24">
        <f t="shared" si="23"/>
        <v>18</v>
      </c>
      <c r="L18" s="24">
        <f t="shared" si="24"/>
        <v>21.425395354310698</v>
      </c>
      <c r="M18" s="24">
        <f t="shared" si="25"/>
        <v>14.574604645689298</v>
      </c>
      <c r="N18" s="2"/>
      <c r="O18" s="34"/>
      <c r="P18" s="2" t="str">
        <f t="shared" si="1"/>
        <v>N</v>
      </c>
      <c r="Q18" s="2" t="str">
        <f t="shared" si="6"/>
        <v>N</v>
      </c>
      <c r="R18" s="2" t="str">
        <f t="shared" si="7"/>
        <v>N</v>
      </c>
      <c r="S18" s="2" t="str">
        <f t="shared" si="8"/>
        <v>N</v>
      </c>
      <c r="T18" s="2" t="b">
        <f t="shared" si="2"/>
        <v>1</v>
      </c>
      <c r="U18" s="2" t="b">
        <f t="shared" si="9"/>
        <v>0</v>
      </c>
      <c r="V18" s="2" t="b">
        <f t="shared" si="3"/>
        <v>0</v>
      </c>
      <c r="W18" s="2"/>
      <c r="X18" s="2"/>
      <c r="Y18" s="3" t="str">
        <f t="shared" si="10"/>
        <v>4-Week Throughput Average: 0</v>
      </c>
      <c r="Z18" s="42">
        <f t="shared" si="11"/>
        <v>2</v>
      </c>
      <c r="AA18" s="3" t="str">
        <f t="shared" si="12"/>
        <v xml:space="preserve">4-Week Throughput Average at 12/06/19 : </v>
      </c>
      <c r="AB18" s="2" t="e">
        <f t="shared" si="13"/>
        <v>#DIV/0!</v>
      </c>
      <c r="AC18" s="2" t="e">
        <f t="shared" si="14"/>
        <v>#DIV/0!</v>
      </c>
      <c r="AD18" s="2" t="str">
        <f t="shared" si="15"/>
        <v>Projected Duration</v>
      </c>
      <c r="AE18" s="2"/>
      <c r="AF18" s="2" t="str">
        <f t="shared" si="16"/>
        <v>Budget Duration</v>
      </c>
      <c r="AG18" s="2"/>
      <c r="AH18" s="2" t="str">
        <f t="shared" si="17"/>
        <v>4-week Average Growth : 0</v>
      </c>
      <c r="AI18" s="2"/>
      <c r="AJ18" s="2" t="str">
        <f t="shared" si="18"/>
        <v xml:space="preserve">4-week Average Growth at 12/06/2019 : </v>
      </c>
    </row>
    <row r="19" spans="1:36" ht="26" x14ac:dyDescent="0.3">
      <c r="A19" s="34">
        <v>43812</v>
      </c>
      <c r="B19" s="4"/>
      <c r="C19" s="5" t="str">
        <f t="shared" si="20"/>
        <v/>
      </c>
      <c r="D19" s="4"/>
      <c r="E19" s="4">
        <f t="shared" si="22"/>
        <v>80</v>
      </c>
      <c r="F19" s="34" t="str">
        <f t="shared" si="19"/>
        <v xml:space="preserve"> </v>
      </c>
      <c r="G19" s="4" t="str">
        <f t="shared" si="0"/>
        <v/>
      </c>
      <c r="H19" s="5" t="str">
        <f t="shared" si="21"/>
        <v/>
      </c>
      <c r="I19" s="4"/>
      <c r="J19" s="2"/>
      <c r="K19" s="24">
        <f t="shared" si="23"/>
        <v>20</v>
      </c>
      <c r="L19" s="24">
        <f t="shared" si="24"/>
        <v>24.281744192888372</v>
      </c>
      <c r="M19" s="24">
        <f t="shared" si="25"/>
        <v>15.718255807111623</v>
      </c>
      <c r="N19" s="2"/>
      <c r="O19" s="34"/>
      <c r="P19" s="2" t="str">
        <f t="shared" si="1"/>
        <v>N</v>
      </c>
      <c r="Q19" s="2" t="str">
        <f t="shared" si="6"/>
        <v>N</v>
      </c>
      <c r="R19" s="2" t="str">
        <f t="shared" si="7"/>
        <v>N</v>
      </c>
      <c r="S19" s="2" t="str">
        <f t="shared" si="8"/>
        <v>N</v>
      </c>
      <c r="T19" s="2" t="b">
        <f t="shared" si="2"/>
        <v>1</v>
      </c>
      <c r="U19" s="2" t="b">
        <f t="shared" si="9"/>
        <v>0</v>
      </c>
      <c r="V19" s="2" t="b">
        <f t="shared" si="3"/>
        <v>0</v>
      </c>
      <c r="W19" s="2"/>
      <c r="X19" s="2"/>
      <c r="Y19" s="3" t="str">
        <f t="shared" si="10"/>
        <v>4-Week Throughput Average: 0</v>
      </c>
      <c r="Z19" s="42">
        <f t="shared" si="11"/>
        <v>2</v>
      </c>
      <c r="AA19" s="3" t="str">
        <f t="shared" si="12"/>
        <v xml:space="preserve">4-Week Throughput Average at 12/13/19 : </v>
      </c>
      <c r="AB19" s="2" t="e">
        <f t="shared" si="13"/>
        <v>#DIV/0!</v>
      </c>
      <c r="AC19" s="2" t="e">
        <f t="shared" si="14"/>
        <v>#DIV/0!</v>
      </c>
      <c r="AD19" s="2" t="str">
        <f t="shared" si="15"/>
        <v>Projected Duration</v>
      </c>
      <c r="AE19" s="2"/>
      <c r="AF19" s="2" t="str">
        <f t="shared" si="16"/>
        <v>Budget Duration</v>
      </c>
      <c r="AG19" s="2"/>
      <c r="AH19" s="2" t="str">
        <f t="shared" si="17"/>
        <v>4-week Average Growth : 0</v>
      </c>
      <c r="AI19" s="2"/>
      <c r="AJ19" s="2" t="str">
        <f t="shared" si="18"/>
        <v xml:space="preserve">4-week Average Growth at 12/13/2019 : </v>
      </c>
    </row>
    <row r="20" spans="1:36" x14ac:dyDescent="0.25">
      <c r="A20" s="34">
        <v>43819</v>
      </c>
      <c r="B20" s="4"/>
      <c r="C20" s="5" t="str">
        <f t="shared" si="20"/>
        <v/>
      </c>
      <c r="D20" s="4"/>
      <c r="E20" s="4">
        <f t="shared" si="22"/>
        <v>80</v>
      </c>
      <c r="F20" s="34" t="str">
        <f t="shared" si="19"/>
        <v xml:space="preserve"> </v>
      </c>
      <c r="G20" s="4" t="str">
        <f t="shared" si="0"/>
        <v/>
      </c>
      <c r="H20" s="5" t="str">
        <f t="shared" si="21"/>
        <v/>
      </c>
      <c r="I20" s="4"/>
      <c r="J20" s="2"/>
      <c r="K20" s="24">
        <f t="shared" si="23"/>
        <v>22</v>
      </c>
      <c r="L20" s="24">
        <f t="shared" si="24"/>
        <v>27.138093031466045</v>
      </c>
      <c r="M20" s="24">
        <f t="shared" si="25"/>
        <v>16.861906968533951</v>
      </c>
      <c r="N20" s="2"/>
      <c r="O20" s="34"/>
      <c r="P20" s="2" t="str">
        <f t="shared" si="1"/>
        <v>N</v>
      </c>
      <c r="Q20" s="2" t="str">
        <f t="shared" si="6"/>
        <v>N</v>
      </c>
      <c r="R20" s="2" t="str">
        <f t="shared" si="7"/>
        <v>N</v>
      </c>
      <c r="S20" s="2" t="str">
        <f t="shared" si="8"/>
        <v>N</v>
      </c>
      <c r="T20" s="2" t="b">
        <f t="shared" si="2"/>
        <v>1</v>
      </c>
      <c r="U20" s="2" t="b">
        <f t="shared" si="9"/>
        <v>0</v>
      </c>
      <c r="V20" s="2" t="b">
        <f t="shared" si="3"/>
        <v>0</v>
      </c>
      <c r="W20" s="2"/>
      <c r="X20" s="2"/>
      <c r="AH20" s="2"/>
    </row>
    <row r="21" spans="1:36" x14ac:dyDescent="0.25">
      <c r="A21" s="34">
        <v>43826</v>
      </c>
      <c r="B21" s="4"/>
      <c r="C21" s="5" t="str">
        <f t="shared" si="20"/>
        <v/>
      </c>
      <c r="D21" s="4"/>
      <c r="E21" s="4">
        <f t="shared" si="22"/>
        <v>80</v>
      </c>
      <c r="F21" s="34" t="str">
        <f t="shared" si="19"/>
        <v xml:space="preserve"> </v>
      </c>
      <c r="G21" s="4" t="str">
        <f t="shared" si="0"/>
        <v/>
      </c>
      <c r="H21" s="5" t="str">
        <f t="shared" si="21"/>
        <v/>
      </c>
      <c r="I21" s="4"/>
      <c r="J21" s="2"/>
      <c r="K21" s="24">
        <f t="shared" si="23"/>
        <v>24</v>
      </c>
      <c r="L21" s="24">
        <f t="shared" si="24"/>
        <v>29.994441870043719</v>
      </c>
      <c r="M21" s="24">
        <f t="shared" si="25"/>
        <v>18.005558129956277</v>
      </c>
      <c r="N21" s="2"/>
      <c r="O21" s="34"/>
      <c r="P21" s="2" t="str">
        <f t="shared" si="1"/>
        <v>N</v>
      </c>
      <c r="Q21" s="2" t="str">
        <f t="shared" si="6"/>
        <v>N</v>
      </c>
      <c r="R21" s="2" t="str">
        <f t="shared" si="7"/>
        <v>N</v>
      </c>
      <c r="S21" s="2" t="str">
        <f t="shared" si="8"/>
        <v>N</v>
      </c>
      <c r="T21" s="2" t="b">
        <f t="shared" si="2"/>
        <v>1</v>
      </c>
      <c r="U21" s="2" t="b">
        <f t="shared" si="9"/>
        <v>0</v>
      </c>
      <c r="V21" s="2" t="b">
        <f t="shared" si="3"/>
        <v>0</v>
      </c>
      <c r="W21" s="2"/>
      <c r="X21" s="2"/>
    </row>
    <row r="22" spans="1:36" x14ac:dyDescent="0.25">
      <c r="A22" s="34">
        <v>43833</v>
      </c>
      <c r="B22" s="4"/>
      <c r="C22" s="5" t="str">
        <f t="shared" si="20"/>
        <v/>
      </c>
      <c r="D22" s="4"/>
      <c r="E22" s="4">
        <f t="shared" si="22"/>
        <v>80</v>
      </c>
      <c r="F22" s="34" t="str">
        <f t="shared" si="19"/>
        <v xml:space="preserve"> </v>
      </c>
      <c r="G22" s="4" t="str">
        <f t="shared" si="0"/>
        <v/>
      </c>
      <c r="H22" s="5" t="str">
        <f t="shared" si="21"/>
        <v/>
      </c>
      <c r="I22" s="4"/>
      <c r="J22" s="2"/>
      <c r="K22" s="24">
        <f t="shared" si="23"/>
        <v>26</v>
      </c>
      <c r="L22" s="24">
        <f t="shared" si="24"/>
        <v>32.850790708621396</v>
      </c>
      <c r="M22" s="24">
        <f t="shared" si="25"/>
        <v>19.149209291378604</v>
      </c>
      <c r="N22" s="2"/>
      <c r="O22" s="34"/>
      <c r="P22" s="2" t="str">
        <f t="shared" si="1"/>
        <v>N</v>
      </c>
      <c r="Q22" s="2" t="str">
        <f t="shared" si="6"/>
        <v>N</v>
      </c>
      <c r="R22" s="2" t="str">
        <f t="shared" si="7"/>
        <v>N</v>
      </c>
      <c r="S22" s="2" t="str">
        <f t="shared" si="8"/>
        <v>N</v>
      </c>
      <c r="T22" s="2" t="b">
        <f t="shared" si="2"/>
        <v>1</v>
      </c>
      <c r="U22" s="2" t="b">
        <f t="shared" si="9"/>
        <v>0</v>
      </c>
      <c r="V22" s="2" t="b">
        <f t="shared" si="3"/>
        <v>0</v>
      </c>
      <c r="W22" s="2"/>
      <c r="X22" s="2"/>
    </row>
    <row r="23" spans="1:36" x14ac:dyDescent="0.25">
      <c r="A23" s="34">
        <v>43840</v>
      </c>
      <c r="B23" s="4"/>
      <c r="C23" s="5" t="str">
        <f t="shared" si="20"/>
        <v/>
      </c>
      <c r="D23" s="4"/>
      <c r="E23" s="4">
        <f t="shared" si="22"/>
        <v>80</v>
      </c>
      <c r="F23" s="34" t="str">
        <f t="shared" si="19"/>
        <v xml:space="preserve"> </v>
      </c>
      <c r="G23" s="4" t="str">
        <f t="shared" si="0"/>
        <v/>
      </c>
      <c r="H23" s="5" t="str">
        <f t="shared" si="21"/>
        <v/>
      </c>
      <c r="I23" s="4"/>
      <c r="J23" s="2"/>
      <c r="K23" s="24">
        <f t="shared" si="23"/>
        <v>28</v>
      </c>
      <c r="L23" s="24">
        <f t="shared" si="24"/>
        <v>35.70713954719907</v>
      </c>
      <c r="M23" s="24">
        <f t="shared" si="25"/>
        <v>20.29286045280093</v>
      </c>
      <c r="N23" s="2"/>
      <c r="O23" s="34"/>
      <c r="P23" s="2" t="str">
        <f t="shared" si="1"/>
        <v>N</v>
      </c>
      <c r="Q23" s="2" t="str">
        <f t="shared" si="6"/>
        <v>N</v>
      </c>
      <c r="R23" s="2" t="str">
        <f t="shared" si="7"/>
        <v>N</v>
      </c>
      <c r="S23" s="2" t="str">
        <f t="shared" si="8"/>
        <v>N</v>
      </c>
      <c r="T23" s="2" t="b">
        <f t="shared" si="2"/>
        <v>1</v>
      </c>
      <c r="U23" s="2" t="b">
        <f t="shared" si="9"/>
        <v>0</v>
      </c>
      <c r="V23" s="2" t="b">
        <f t="shared" si="3"/>
        <v>0</v>
      </c>
      <c r="W23" s="2"/>
      <c r="X23" s="2"/>
    </row>
    <row r="24" spans="1:36" ht="15.75" customHeight="1" x14ac:dyDescent="0.25">
      <c r="A24" s="34">
        <v>43847</v>
      </c>
      <c r="B24" s="4"/>
      <c r="C24" s="5" t="str">
        <f t="shared" si="20"/>
        <v/>
      </c>
      <c r="D24" s="4"/>
      <c r="E24" s="4">
        <f t="shared" si="22"/>
        <v>80</v>
      </c>
      <c r="F24" s="34" t="str">
        <f t="shared" si="19"/>
        <v xml:space="preserve"> </v>
      </c>
      <c r="G24" s="39" t="str">
        <f t="shared" si="0"/>
        <v/>
      </c>
      <c r="H24" s="40" t="str">
        <f t="shared" si="21"/>
        <v/>
      </c>
      <c r="I24" s="4"/>
      <c r="J24" s="2"/>
      <c r="K24" s="24">
        <f t="shared" si="23"/>
        <v>30</v>
      </c>
      <c r="L24" s="24">
        <f t="shared" si="24"/>
        <v>38.563488385776743</v>
      </c>
      <c r="M24" s="24">
        <f t="shared" si="25"/>
        <v>21.436511614223257</v>
      </c>
      <c r="N24" s="2"/>
      <c r="O24" s="34"/>
      <c r="P24" s="2" t="str">
        <f t="shared" si="1"/>
        <v>N</v>
      </c>
      <c r="Q24" s="2" t="str">
        <f t="shared" si="6"/>
        <v>N</v>
      </c>
      <c r="R24" s="2" t="str">
        <f t="shared" si="7"/>
        <v>N</v>
      </c>
      <c r="S24" s="2" t="str">
        <f t="shared" si="8"/>
        <v>N</v>
      </c>
      <c r="T24" s="2" t="b">
        <f t="shared" si="2"/>
        <v>1</v>
      </c>
      <c r="U24" s="2" t="b">
        <f t="shared" si="9"/>
        <v>0</v>
      </c>
      <c r="V24" s="2" t="b">
        <f>ISNUMBER(O24)</f>
        <v>0</v>
      </c>
      <c r="W24" s="2"/>
      <c r="X24" s="2"/>
    </row>
    <row r="25" spans="1:36" x14ac:dyDescent="0.25">
      <c r="A25" s="34">
        <v>43854</v>
      </c>
      <c r="B25" s="4"/>
      <c r="C25" s="5" t="str">
        <f t="shared" si="20"/>
        <v/>
      </c>
      <c r="D25" s="4"/>
      <c r="E25" s="4">
        <f t="shared" si="22"/>
        <v>80</v>
      </c>
      <c r="F25" s="34" t="str">
        <f t="shared" si="19"/>
        <v xml:space="preserve"> </v>
      </c>
      <c r="G25" s="4" t="str">
        <f t="shared" si="0"/>
        <v/>
      </c>
      <c r="H25" s="5" t="str">
        <f t="shared" si="21"/>
        <v/>
      </c>
      <c r="I25" s="4"/>
      <c r="J25" s="2"/>
      <c r="K25" s="24">
        <f t="shared" si="23"/>
        <v>32</v>
      </c>
      <c r="L25" s="24">
        <f t="shared" si="24"/>
        <v>41.419837224354417</v>
      </c>
      <c r="M25" s="24">
        <f t="shared" si="25"/>
        <v>22.580162775645583</v>
      </c>
      <c r="N25" s="2"/>
      <c r="O25" s="34"/>
      <c r="P25" s="2" t="str">
        <f t="shared" si="1"/>
        <v>N</v>
      </c>
      <c r="Q25" s="2" t="str">
        <f t="shared" si="6"/>
        <v>N</v>
      </c>
      <c r="R25" s="2" t="str">
        <f t="shared" si="7"/>
        <v>N</v>
      </c>
      <c r="S25" s="2" t="str">
        <f t="shared" si="8"/>
        <v>N</v>
      </c>
      <c r="T25" s="2" t="b">
        <f t="shared" si="2"/>
        <v>1</v>
      </c>
      <c r="U25" s="2" t="b">
        <f t="shared" si="9"/>
        <v>0</v>
      </c>
      <c r="V25" s="2" t="b">
        <f t="shared" ref="V25:V30" si="27">ISNUMBER(O25)</f>
        <v>0</v>
      </c>
      <c r="W25" s="2"/>
      <c r="X25" s="2"/>
    </row>
    <row r="26" spans="1:36" x14ac:dyDescent="0.25">
      <c r="A26" s="34">
        <v>43861</v>
      </c>
      <c r="B26" s="4"/>
      <c r="C26" s="5" t="str">
        <f t="shared" si="20"/>
        <v/>
      </c>
      <c r="D26" s="4"/>
      <c r="E26" s="4">
        <f t="shared" si="22"/>
        <v>80</v>
      </c>
      <c r="F26" s="34" t="str">
        <f t="shared" si="19"/>
        <v xml:space="preserve"> </v>
      </c>
      <c r="G26" s="39" t="str">
        <f t="shared" si="0"/>
        <v/>
      </c>
      <c r="H26" s="40" t="str">
        <f t="shared" si="21"/>
        <v/>
      </c>
      <c r="I26" s="4"/>
      <c r="J26" s="2"/>
      <c r="K26" s="24">
        <f t="shared" si="23"/>
        <v>34</v>
      </c>
      <c r="L26" s="24">
        <f t="shared" si="24"/>
        <v>44.276186062932091</v>
      </c>
      <c r="M26" s="24">
        <f t="shared" si="25"/>
        <v>23.723813937067909</v>
      </c>
      <c r="N26" s="2"/>
      <c r="O26" s="34"/>
      <c r="P26" s="2" t="str">
        <f t="shared" si="1"/>
        <v>N</v>
      </c>
      <c r="Q26" s="2" t="str">
        <f t="shared" si="6"/>
        <v>N</v>
      </c>
      <c r="R26" s="2" t="str">
        <f t="shared" si="7"/>
        <v>N</v>
      </c>
      <c r="S26" s="2" t="str">
        <f t="shared" si="8"/>
        <v>N</v>
      </c>
      <c r="T26" s="2" t="b">
        <f t="shared" si="2"/>
        <v>1</v>
      </c>
      <c r="U26" s="2" t="b">
        <f t="shared" si="9"/>
        <v>0</v>
      </c>
      <c r="V26" s="2" t="b">
        <f t="shared" si="27"/>
        <v>0</v>
      </c>
      <c r="W26" s="2"/>
      <c r="X26" s="2"/>
    </row>
    <row r="27" spans="1:36" ht="14.25" customHeight="1" x14ac:dyDescent="0.25">
      <c r="A27" s="34">
        <v>43868</v>
      </c>
      <c r="B27" s="4"/>
      <c r="C27" s="5" t="str">
        <f t="shared" si="20"/>
        <v/>
      </c>
      <c r="D27" s="4"/>
      <c r="E27" s="4">
        <f t="shared" si="22"/>
        <v>80</v>
      </c>
      <c r="F27" s="34" t="str">
        <f t="shared" si="19"/>
        <v xml:space="preserve"> </v>
      </c>
      <c r="G27" s="4" t="str">
        <f t="shared" si="0"/>
        <v/>
      </c>
      <c r="H27" s="5" t="str">
        <f t="shared" si="21"/>
        <v/>
      </c>
      <c r="I27" s="4"/>
      <c r="J27" s="2"/>
      <c r="K27" s="24">
        <f t="shared" si="23"/>
        <v>36</v>
      </c>
      <c r="L27" s="24">
        <f t="shared" si="24"/>
        <v>47.132534901509764</v>
      </c>
      <c r="M27" s="24">
        <f t="shared" si="25"/>
        <v>24.867465098490236</v>
      </c>
      <c r="N27" s="2"/>
      <c r="O27" s="34"/>
      <c r="P27" s="2" t="str">
        <f t="shared" si="1"/>
        <v>N</v>
      </c>
      <c r="Q27" s="2" t="str">
        <f t="shared" si="6"/>
        <v>N</v>
      </c>
      <c r="R27" s="2" t="str">
        <f t="shared" si="7"/>
        <v>N</v>
      </c>
      <c r="S27" s="2" t="str">
        <f t="shared" si="8"/>
        <v>N</v>
      </c>
      <c r="T27" s="2" t="b">
        <f t="shared" si="2"/>
        <v>1</v>
      </c>
      <c r="U27" s="2" t="b">
        <f t="shared" si="9"/>
        <v>0</v>
      </c>
      <c r="V27" s="2" t="b">
        <f t="shared" si="27"/>
        <v>0</v>
      </c>
      <c r="W27" s="2"/>
      <c r="X27" s="2"/>
    </row>
    <row r="28" spans="1:36" x14ac:dyDescent="0.25">
      <c r="A28" s="34">
        <v>43875</v>
      </c>
      <c r="B28" s="4"/>
      <c r="C28" s="5" t="str">
        <f t="shared" si="20"/>
        <v/>
      </c>
      <c r="D28" s="4"/>
      <c r="E28" s="4">
        <f t="shared" si="22"/>
        <v>80</v>
      </c>
      <c r="F28" s="34" t="str">
        <f t="shared" si="19"/>
        <v xml:space="preserve"> </v>
      </c>
      <c r="G28" s="4" t="str">
        <f t="shared" si="0"/>
        <v/>
      </c>
      <c r="H28" s="5" t="str">
        <f t="shared" si="21"/>
        <v/>
      </c>
      <c r="I28" s="4"/>
      <c r="J28" s="2"/>
      <c r="K28" s="24">
        <f t="shared" si="23"/>
        <v>38</v>
      </c>
      <c r="L28" s="24">
        <f t="shared" si="24"/>
        <v>49.988883740087438</v>
      </c>
      <c r="M28" s="24">
        <f t="shared" si="25"/>
        <v>26.011116259912562</v>
      </c>
      <c r="N28" s="2"/>
      <c r="O28" s="34"/>
      <c r="P28" s="2" t="str">
        <f t="shared" si="1"/>
        <v>N</v>
      </c>
      <c r="Q28" s="2" t="str">
        <f t="shared" si="6"/>
        <v>N</v>
      </c>
      <c r="R28" s="2" t="str">
        <f t="shared" si="7"/>
        <v>N</v>
      </c>
      <c r="S28" s="2" t="str">
        <f t="shared" si="8"/>
        <v>N</v>
      </c>
      <c r="T28" s="2" t="b">
        <f t="shared" si="2"/>
        <v>1</v>
      </c>
      <c r="U28" s="2" t="b">
        <f t="shared" si="9"/>
        <v>0</v>
      </c>
      <c r="V28" s="2" t="b">
        <f t="shared" si="27"/>
        <v>0</v>
      </c>
      <c r="W28" s="2"/>
      <c r="X28" s="2"/>
    </row>
    <row r="29" spans="1:36" x14ac:dyDescent="0.25">
      <c r="A29" s="34">
        <v>43882</v>
      </c>
      <c r="B29" s="4"/>
      <c r="C29" s="5" t="str">
        <f t="shared" si="20"/>
        <v/>
      </c>
      <c r="D29" s="4"/>
      <c r="E29" s="4">
        <f t="shared" si="22"/>
        <v>80</v>
      </c>
      <c r="F29" s="34" t="str">
        <f t="shared" si="19"/>
        <v xml:space="preserve"> </v>
      </c>
      <c r="G29" s="4" t="str">
        <f t="shared" si="0"/>
        <v/>
      </c>
      <c r="H29" s="5" t="str">
        <f t="shared" si="21"/>
        <v/>
      </c>
      <c r="I29" s="4"/>
      <c r="J29" s="2"/>
      <c r="K29" s="24">
        <f t="shared" si="23"/>
        <v>40</v>
      </c>
      <c r="L29" s="24">
        <f t="shared" si="24"/>
        <v>52.845232578665112</v>
      </c>
      <c r="M29" s="24">
        <f t="shared" si="25"/>
        <v>27.154767421334888</v>
      </c>
      <c r="N29" s="2"/>
      <c r="O29" s="34"/>
      <c r="P29" s="2" t="str">
        <f t="shared" si="1"/>
        <v>N</v>
      </c>
      <c r="Q29" s="2" t="str">
        <f t="shared" si="6"/>
        <v>N</v>
      </c>
      <c r="R29" s="2" t="str">
        <f t="shared" si="7"/>
        <v>N</v>
      </c>
      <c r="S29" s="2" t="str">
        <f t="shared" si="8"/>
        <v>N</v>
      </c>
      <c r="T29" s="2" t="b">
        <f>ISBLANK(O29)</f>
        <v>1</v>
      </c>
      <c r="U29" s="2" t="b">
        <f t="shared" si="9"/>
        <v>0</v>
      </c>
      <c r="V29" s="2" t="b">
        <f t="shared" si="27"/>
        <v>0</v>
      </c>
      <c r="W29" s="2"/>
      <c r="X29" s="2"/>
    </row>
    <row r="30" spans="1:36" x14ac:dyDescent="0.25">
      <c r="A30" s="34">
        <v>43889</v>
      </c>
      <c r="B30" s="4"/>
      <c r="C30" s="5" t="str">
        <f t="shared" si="20"/>
        <v/>
      </c>
      <c r="D30" s="4"/>
      <c r="E30" s="4">
        <f t="shared" si="22"/>
        <v>80</v>
      </c>
      <c r="F30" s="34" t="str">
        <f t="shared" si="19"/>
        <v xml:space="preserve"> </v>
      </c>
      <c r="G30" s="4" t="str">
        <f t="shared" si="0"/>
        <v/>
      </c>
      <c r="H30" s="5" t="str">
        <f t="shared" si="21"/>
        <v/>
      </c>
      <c r="I30" s="4"/>
      <c r="J30" s="2"/>
      <c r="K30" s="24">
        <f t="shared" si="23"/>
        <v>42</v>
      </c>
      <c r="L30" s="24">
        <f t="shared" si="24"/>
        <v>55.701581417242785</v>
      </c>
      <c r="M30" s="24">
        <f t="shared" si="25"/>
        <v>28.298418582757215</v>
      </c>
      <c r="N30" s="2"/>
      <c r="O30" s="34"/>
      <c r="P30" s="2" t="str">
        <f t="shared" si="1"/>
        <v>N</v>
      </c>
      <c r="Q30" s="2" t="str">
        <f t="shared" si="6"/>
        <v>N</v>
      </c>
      <c r="R30" s="2" t="str">
        <f t="shared" si="7"/>
        <v>N</v>
      </c>
      <c r="S30" s="2" t="str">
        <f t="shared" si="8"/>
        <v>N</v>
      </c>
      <c r="T30" s="2" t="b">
        <f t="shared" ref="T30:T93" si="28">ISBLANK(O30)</f>
        <v>1</v>
      </c>
      <c r="U30" s="2" t="b">
        <f t="shared" si="9"/>
        <v>0</v>
      </c>
      <c r="V30" s="2" t="b">
        <f t="shared" si="27"/>
        <v>0</v>
      </c>
      <c r="W30" s="2"/>
      <c r="X30" s="2"/>
    </row>
    <row r="31" spans="1:36" x14ac:dyDescent="0.25">
      <c r="A31" s="34">
        <v>43896</v>
      </c>
      <c r="B31" s="4"/>
      <c r="C31" s="5" t="str">
        <f t="shared" si="20"/>
        <v/>
      </c>
      <c r="D31" s="4"/>
      <c r="E31" s="4">
        <f t="shared" si="22"/>
        <v>80</v>
      </c>
      <c r="F31" s="34" t="str">
        <f t="shared" si="19"/>
        <v xml:space="preserve"> </v>
      </c>
      <c r="G31" s="39" t="str">
        <f t="shared" si="0"/>
        <v/>
      </c>
      <c r="H31" s="40" t="str">
        <f t="shared" si="21"/>
        <v/>
      </c>
      <c r="I31" s="4"/>
      <c r="J31" s="2"/>
      <c r="K31" s="24">
        <f t="shared" si="23"/>
        <v>44</v>
      </c>
      <c r="L31" s="24">
        <f t="shared" si="24"/>
        <v>58.557930255820459</v>
      </c>
      <c r="M31" s="24">
        <f t="shared" si="25"/>
        <v>29.442069744179541</v>
      </c>
      <c r="N31" s="2"/>
      <c r="O31" s="34"/>
      <c r="P31" s="2" t="str">
        <f t="shared" si="1"/>
        <v>N</v>
      </c>
      <c r="Q31" s="2" t="str">
        <f t="shared" si="6"/>
        <v>N</v>
      </c>
      <c r="R31" s="2" t="str">
        <f t="shared" si="7"/>
        <v>N</v>
      </c>
      <c r="S31" s="2" t="str">
        <f t="shared" si="8"/>
        <v>N</v>
      </c>
      <c r="T31" s="2" t="b">
        <f t="shared" si="28"/>
        <v>1</v>
      </c>
      <c r="U31" s="2" t="b">
        <f t="shared" si="9"/>
        <v>0</v>
      </c>
      <c r="V31" s="2" t="b">
        <f>ISNUMBER(O31)</f>
        <v>0</v>
      </c>
      <c r="W31" s="2"/>
      <c r="X31" s="2"/>
    </row>
    <row r="32" spans="1:36" x14ac:dyDescent="0.25">
      <c r="A32" s="34">
        <v>43903</v>
      </c>
      <c r="B32" s="4"/>
      <c r="C32" s="5" t="str">
        <f t="shared" si="20"/>
        <v/>
      </c>
      <c r="D32" s="4"/>
      <c r="E32" s="4">
        <f t="shared" si="22"/>
        <v>80</v>
      </c>
      <c r="F32" s="34" t="str">
        <f t="shared" si="19"/>
        <v xml:space="preserve"> </v>
      </c>
      <c r="G32" s="4" t="str">
        <f t="shared" si="0"/>
        <v/>
      </c>
      <c r="H32" s="5" t="str">
        <f t="shared" si="21"/>
        <v/>
      </c>
      <c r="I32" s="4"/>
      <c r="J32" s="2"/>
      <c r="K32" s="24">
        <f t="shared" si="23"/>
        <v>46</v>
      </c>
      <c r="L32" s="24">
        <f t="shared" si="24"/>
        <v>61.414279094398132</v>
      </c>
      <c r="M32" s="24">
        <f t="shared" si="25"/>
        <v>30.585720905601868</v>
      </c>
      <c r="N32" s="2"/>
      <c r="O32" s="34"/>
      <c r="P32" s="2" t="str">
        <f t="shared" si="1"/>
        <v>N</v>
      </c>
      <c r="Q32" s="2" t="str">
        <f t="shared" si="6"/>
        <v>N</v>
      </c>
      <c r="R32" s="2" t="str">
        <f t="shared" si="7"/>
        <v>N</v>
      </c>
      <c r="S32" s="2" t="str">
        <f t="shared" si="8"/>
        <v>N</v>
      </c>
      <c r="T32" s="2" t="b">
        <f t="shared" si="28"/>
        <v>1</v>
      </c>
      <c r="U32" s="2" t="b">
        <f t="shared" si="9"/>
        <v>0</v>
      </c>
      <c r="V32" s="2" t="b">
        <f t="shared" ref="V32:V95" si="29">ISNUMBER(O32)</f>
        <v>0</v>
      </c>
      <c r="W32" s="2"/>
      <c r="X32" s="2"/>
    </row>
    <row r="33" spans="1:24" x14ac:dyDescent="0.25">
      <c r="A33" s="34">
        <v>43910</v>
      </c>
      <c r="B33" s="4"/>
      <c r="C33" s="5" t="str">
        <f t="shared" si="20"/>
        <v/>
      </c>
      <c r="D33" s="4"/>
      <c r="E33" s="4">
        <f t="shared" si="22"/>
        <v>80</v>
      </c>
      <c r="F33" s="34" t="str">
        <f t="shared" si="19"/>
        <v xml:space="preserve"> </v>
      </c>
      <c r="G33" s="4" t="str">
        <f t="shared" si="0"/>
        <v/>
      </c>
      <c r="H33" s="5" t="str">
        <f t="shared" si="21"/>
        <v/>
      </c>
      <c r="I33" s="4"/>
      <c r="J33" s="2"/>
      <c r="K33" s="24">
        <f t="shared" si="23"/>
        <v>48</v>
      </c>
      <c r="L33" s="24">
        <f t="shared" si="24"/>
        <v>64.270627932975813</v>
      </c>
      <c r="M33" s="24">
        <f t="shared" si="25"/>
        <v>31.729372067024194</v>
      </c>
      <c r="N33" s="2"/>
      <c r="O33" s="34"/>
      <c r="P33" s="2" t="str">
        <f t="shared" si="1"/>
        <v>N</v>
      </c>
      <c r="Q33" s="2" t="str">
        <f t="shared" si="6"/>
        <v>N</v>
      </c>
      <c r="R33" s="2" t="str">
        <f t="shared" si="7"/>
        <v>N</v>
      </c>
      <c r="S33" s="2" t="str">
        <f t="shared" si="8"/>
        <v>N</v>
      </c>
      <c r="T33" s="2" t="b">
        <f t="shared" si="28"/>
        <v>1</v>
      </c>
      <c r="U33" s="2" t="b">
        <f t="shared" si="9"/>
        <v>0</v>
      </c>
      <c r="V33" s="2" t="b">
        <f t="shared" si="29"/>
        <v>0</v>
      </c>
      <c r="W33" s="2"/>
      <c r="X33" s="2"/>
    </row>
    <row r="34" spans="1:24" x14ac:dyDescent="0.25">
      <c r="A34" s="34">
        <v>43917</v>
      </c>
      <c r="B34" s="4"/>
      <c r="C34" s="5" t="str">
        <f t="shared" si="20"/>
        <v/>
      </c>
      <c r="D34" s="4"/>
      <c r="E34" s="4">
        <f t="shared" si="22"/>
        <v>80</v>
      </c>
      <c r="F34" s="34" t="str">
        <f t="shared" si="19"/>
        <v xml:space="preserve"> </v>
      </c>
      <c r="G34" s="4" t="str">
        <f t="shared" si="0"/>
        <v/>
      </c>
      <c r="H34" s="5" t="str">
        <f t="shared" si="21"/>
        <v/>
      </c>
      <c r="I34" s="4"/>
      <c r="J34" s="2"/>
      <c r="K34" s="24">
        <f t="shared" si="23"/>
        <v>50</v>
      </c>
      <c r="L34" s="24">
        <f t="shared" si="24"/>
        <v>67.126976771553487</v>
      </c>
      <c r="M34" s="24">
        <f t="shared" si="25"/>
        <v>32.87302322844652</v>
      </c>
      <c r="N34" s="2"/>
      <c r="O34" s="34"/>
      <c r="P34" s="2" t="str">
        <f t="shared" si="1"/>
        <v>N</v>
      </c>
      <c r="Q34" s="2" t="str">
        <f t="shared" si="6"/>
        <v>N</v>
      </c>
      <c r="R34" s="2" t="str">
        <f t="shared" si="7"/>
        <v>N</v>
      </c>
      <c r="S34" s="2" t="str">
        <f t="shared" si="8"/>
        <v>N</v>
      </c>
      <c r="T34" s="2" t="b">
        <f t="shared" si="28"/>
        <v>1</v>
      </c>
      <c r="U34" s="2" t="b">
        <f t="shared" si="9"/>
        <v>0</v>
      </c>
      <c r="V34" s="2" t="b">
        <f t="shared" si="29"/>
        <v>0</v>
      </c>
      <c r="W34" s="2"/>
      <c r="X34" s="2"/>
    </row>
    <row r="35" spans="1:24" x14ac:dyDescent="0.25">
      <c r="A35" s="34">
        <v>43924</v>
      </c>
      <c r="B35" s="4"/>
      <c r="C35" s="5" t="str">
        <f t="shared" si="20"/>
        <v/>
      </c>
      <c r="D35" s="4"/>
      <c r="E35" s="4">
        <f t="shared" si="22"/>
        <v>80</v>
      </c>
      <c r="F35" s="34" t="str">
        <f t="shared" si="19"/>
        <v xml:space="preserve"> </v>
      </c>
      <c r="G35" s="4" t="str">
        <f t="shared" si="0"/>
        <v/>
      </c>
      <c r="H35" s="5" t="str">
        <f t="shared" si="21"/>
        <v/>
      </c>
      <c r="I35" s="4"/>
      <c r="J35" s="2"/>
      <c r="K35" s="24">
        <f t="shared" si="23"/>
        <v>52</v>
      </c>
      <c r="L35" s="24">
        <f t="shared" si="24"/>
        <v>69.98332561013116</v>
      </c>
      <c r="M35" s="24">
        <f t="shared" si="25"/>
        <v>34.016674389868847</v>
      </c>
      <c r="N35" s="2"/>
      <c r="O35" s="34"/>
      <c r="P35" s="2" t="str">
        <f t="shared" si="1"/>
        <v>N</v>
      </c>
      <c r="Q35" s="2" t="str">
        <f t="shared" si="6"/>
        <v>N</v>
      </c>
      <c r="R35" s="2" t="str">
        <f t="shared" si="7"/>
        <v>N</v>
      </c>
      <c r="S35" s="2" t="str">
        <f t="shared" si="8"/>
        <v>N</v>
      </c>
      <c r="T35" s="2" t="b">
        <f t="shared" si="28"/>
        <v>1</v>
      </c>
      <c r="U35" s="2" t="b">
        <f t="shared" si="9"/>
        <v>0</v>
      </c>
      <c r="V35" s="2" t="b">
        <f t="shared" si="29"/>
        <v>0</v>
      </c>
      <c r="W35" s="1"/>
      <c r="X35" s="2"/>
    </row>
    <row r="36" spans="1:24" x14ac:dyDescent="0.25">
      <c r="A36" s="34">
        <v>43931</v>
      </c>
      <c r="B36" s="4"/>
      <c r="C36" s="5" t="str">
        <f t="shared" si="20"/>
        <v/>
      </c>
      <c r="D36" s="4"/>
      <c r="E36" s="4">
        <f t="shared" si="22"/>
        <v>80</v>
      </c>
      <c r="F36" s="34" t="str">
        <f t="shared" si="19"/>
        <v xml:space="preserve"> </v>
      </c>
      <c r="G36" s="4" t="str">
        <f t="shared" si="0"/>
        <v/>
      </c>
      <c r="H36" s="5" t="str">
        <f t="shared" si="21"/>
        <v/>
      </c>
      <c r="I36" s="4"/>
      <c r="J36" s="2"/>
      <c r="K36" s="24">
        <f t="shared" si="23"/>
        <v>54</v>
      </c>
      <c r="L36" s="24">
        <f t="shared" si="24"/>
        <v>72.839674448708834</v>
      </c>
      <c r="M36" s="24">
        <f t="shared" si="25"/>
        <v>35.160325551291173</v>
      </c>
      <c r="N36" s="2"/>
      <c r="O36" s="34"/>
      <c r="P36" s="2" t="str">
        <f t="shared" si="1"/>
        <v>N</v>
      </c>
      <c r="Q36" s="2" t="str">
        <f t="shared" si="6"/>
        <v>N</v>
      </c>
      <c r="R36" s="2" t="str">
        <f t="shared" si="7"/>
        <v>N</v>
      </c>
      <c r="S36" s="2" t="str">
        <f t="shared" si="8"/>
        <v>N</v>
      </c>
      <c r="T36" s="2" t="b">
        <f t="shared" si="28"/>
        <v>1</v>
      </c>
      <c r="U36" s="2" t="b">
        <f t="shared" si="9"/>
        <v>0</v>
      </c>
      <c r="V36" s="2" t="b">
        <f t="shared" si="29"/>
        <v>0</v>
      </c>
      <c r="W36" s="2"/>
      <c r="X36" s="2"/>
    </row>
    <row r="37" spans="1:24" x14ac:dyDescent="0.25">
      <c r="A37" s="34">
        <v>43938</v>
      </c>
      <c r="B37" s="4"/>
      <c r="C37" s="5" t="str">
        <f t="shared" si="20"/>
        <v/>
      </c>
      <c r="D37" s="4"/>
      <c r="E37" s="4">
        <f t="shared" si="22"/>
        <v>80</v>
      </c>
      <c r="F37" s="34" t="str">
        <f t="shared" si="19"/>
        <v xml:space="preserve"> </v>
      </c>
      <c r="G37" s="4" t="str">
        <f t="shared" si="0"/>
        <v/>
      </c>
      <c r="H37" s="5" t="str">
        <f t="shared" si="21"/>
        <v/>
      </c>
      <c r="I37" s="4"/>
      <c r="J37" s="2"/>
      <c r="K37" s="24">
        <f t="shared" si="23"/>
        <v>56</v>
      </c>
      <c r="L37" s="24">
        <f t="shared" si="24"/>
        <v>75.696023287286508</v>
      </c>
      <c r="M37" s="24">
        <f t="shared" si="25"/>
        <v>36.303976712713499</v>
      </c>
      <c r="N37" s="2"/>
      <c r="O37" s="34"/>
      <c r="P37" s="2" t="str">
        <f t="shared" si="1"/>
        <v>N</v>
      </c>
      <c r="Q37" s="2" t="str">
        <f t="shared" si="6"/>
        <v>N</v>
      </c>
      <c r="R37" s="2" t="str">
        <f t="shared" si="7"/>
        <v>N</v>
      </c>
      <c r="S37" s="2" t="str">
        <f t="shared" si="8"/>
        <v>N</v>
      </c>
      <c r="T37" s="2" t="b">
        <f t="shared" si="28"/>
        <v>1</v>
      </c>
      <c r="U37" s="2" t="b">
        <f t="shared" si="9"/>
        <v>0</v>
      </c>
      <c r="V37" s="2" t="b">
        <f t="shared" si="29"/>
        <v>0</v>
      </c>
      <c r="W37" s="2"/>
      <c r="X37" s="2"/>
    </row>
    <row r="38" spans="1:24" x14ac:dyDescent="0.25">
      <c r="A38" s="34">
        <v>43945</v>
      </c>
      <c r="B38" s="4"/>
      <c r="C38" s="5" t="str">
        <f t="shared" si="20"/>
        <v/>
      </c>
      <c r="D38" s="4"/>
      <c r="E38" s="4">
        <f t="shared" si="22"/>
        <v>80</v>
      </c>
      <c r="F38" s="34" t="str">
        <f t="shared" si="19"/>
        <v xml:space="preserve"> </v>
      </c>
      <c r="G38" s="4" t="str">
        <f t="shared" si="0"/>
        <v/>
      </c>
      <c r="H38" s="5" t="str">
        <f t="shared" si="21"/>
        <v/>
      </c>
      <c r="I38" s="4"/>
      <c r="J38" s="2"/>
      <c r="K38" s="24">
        <f t="shared" si="23"/>
        <v>58</v>
      </c>
      <c r="L38" s="24">
        <f t="shared" si="24"/>
        <v>78.552372125864181</v>
      </c>
      <c r="M38" s="24">
        <f t="shared" si="25"/>
        <v>37.447627874135826</v>
      </c>
      <c r="N38" s="2"/>
      <c r="O38" s="34"/>
      <c r="P38" s="2" t="str">
        <f t="shared" si="1"/>
        <v>N</v>
      </c>
      <c r="Q38" s="2" t="str">
        <f t="shared" si="6"/>
        <v>N</v>
      </c>
      <c r="R38" s="2" t="str">
        <f t="shared" si="7"/>
        <v>N</v>
      </c>
      <c r="S38" s="2" t="str">
        <f t="shared" si="8"/>
        <v>N</v>
      </c>
      <c r="T38" s="2" t="b">
        <f t="shared" si="28"/>
        <v>1</v>
      </c>
      <c r="U38" s="2" t="b">
        <f t="shared" si="9"/>
        <v>0</v>
      </c>
      <c r="V38" s="2" t="b">
        <f t="shared" si="29"/>
        <v>0</v>
      </c>
      <c r="W38" s="2"/>
      <c r="X38" s="2"/>
    </row>
    <row r="39" spans="1:24" x14ac:dyDescent="0.25">
      <c r="A39" s="34">
        <v>43952</v>
      </c>
      <c r="B39" s="4"/>
      <c r="C39" s="5" t="str">
        <f t="shared" si="20"/>
        <v/>
      </c>
      <c r="D39" s="4"/>
      <c r="E39" s="4">
        <f t="shared" si="22"/>
        <v>80</v>
      </c>
      <c r="F39" s="34" t="str">
        <f t="shared" si="19"/>
        <v>05/01/2020</v>
      </c>
      <c r="G39" s="4" t="str">
        <f t="shared" si="0"/>
        <v/>
      </c>
      <c r="H39" s="5" t="str">
        <f t="shared" si="21"/>
        <v/>
      </c>
      <c r="I39" s="4"/>
      <c r="J39" s="2"/>
      <c r="K39" s="24">
        <f t="shared" si="23"/>
        <v>60</v>
      </c>
      <c r="L39" s="24">
        <f t="shared" si="24"/>
        <v>81.408720964441855</v>
      </c>
      <c r="M39" s="24">
        <f t="shared" si="25"/>
        <v>38.591279035558152</v>
      </c>
      <c r="N39" s="2"/>
      <c r="O39" s="34">
        <f t="shared" si="26"/>
        <v>43952</v>
      </c>
      <c r="P39" s="2" t="str">
        <f t="shared" si="1"/>
        <v>Y</v>
      </c>
      <c r="Q39" s="2" t="str">
        <f t="shared" si="6"/>
        <v>N</v>
      </c>
      <c r="R39" s="2" t="str">
        <f t="shared" si="7"/>
        <v>N</v>
      </c>
      <c r="S39" s="2" t="str">
        <f t="shared" si="8"/>
        <v>N</v>
      </c>
      <c r="T39" s="2" t="b">
        <f t="shared" si="28"/>
        <v>0</v>
      </c>
      <c r="U39" s="2" t="b">
        <f t="shared" si="9"/>
        <v>0</v>
      </c>
      <c r="V39" s="2" t="b">
        <f t="shared" si="29"/>
        <v>1</v>
      </c>
      <c r="W39" s="2"/>
      <c r="X39" s="2"/>
    </row>
    <row r="40" spans="1:24" x14ac:dyDescent="0.25">
      <c r="A40" s="34">
        <v>43959</v>
      </c>
      <c r="B40" s="4"/>
      <c r="C40" s="5" t="str">
        <f t="shared" si="20"/>
        <v/>
      </c>
      <c r="D40" s="4"/>
      <c r="E40" s="4">
        <f t="shared" si="22"/>
        <v>80</v>
      </c>
      <c r="F40" s="34" t="str">
        <f t="shared" si="19"/>
        <v xml:space="preserve"> </v>
      </c>
      <c r="G40" s="4" t="str">
        <f t="shared" si="0"/>
        <v/>
      </c>
      <c r="H40" s="5" t="str">
        <f t="shared" si="21"/>
        <v/>
      </c>
      <c r="I40" s="4"/>
      <c r="J40" s="2"/>
      <c r="K40" s="24">
        <f t="shared" si="23"/>
        <v>62</v>
      </c>
      <c r="L40" s="24">
        <f t="shared" si="24"/>
        <v>84.265069803019529</v>
      </c>
      <c r="M40" s="24">
        <f t="shared" si="25"/>
        <v>39.734930196980478</v>
      </c>
      <c r="N40" s="2"/>
      <c r="O40" s="34"/>
      <c r="P40" s="2" t="str">
        <f t="shared" si="1"/>
        <v>Y</v>
      </c>
      <c r="Q40" s="2" t="str">
        <f t="shared" si="6"/>
        <v>N</v>
      </c>
      <c r="R40" s="2" t="str">
        <f t="shared" si="7"/>
        <v>N</v>
      </c>
      <c r="S40" s="2" t="str">
        <f t="shared" si="8"/>
        <v>N</v>
      </c>
      <c r="T40" s="2" t="b">
        <f t="shared" si="28"/>
        <v>1</v>
      </c>
      <c r="U40" s="2" t="b">
        <f t="shared" si="9"/>
        <v>0</v>
      </c>
      <c r="V40" s="2" t="b">
        <f t="shared" si="29"/>
        <v>0</v>
      </c>
      <c r="W40" s="2"/>
      <c r="X40" s="2"/>
    </row>
    <row r="41" spans="1:24" x14ac:dyDescent="0.25">
      <c r="A41" s="34">
        <v>43966</v>
      </c>
      <c r="B41" s="4"/>
      <c r="C41" s="5" t="str">
        <f t="shared" si="20"/>
        <v/>
      </c>
      <c r="D41" s="4"/>
      <c r="E41" s="4">
        <f t="shared" si="22"/>
        <v>80</v>
      </c>
      <c r="F41" s="34" t="str">
        <f t="shared" si="19"/>
        <v xml:space="preserve"> </v>
      </c>
      <c r="G41" s="4" t="str">
        <f t="shared" si="0"/>
        <v/>
      </c>
      <c r="H41" s="5" t="str">
        <f t="shared" si="21"/>
        <v/>
      </c>
      <c r="I41" s="4"/>
      <c r="J41" s="2"/>
      <c r="K41" s="24">
        <f t="shared" si="23"/>
        <v>64</v>
      </c>
      <c r="L41" s="24">
        <f t="shared" si="24"/>
        <v>87.121418641597202</v>
      </c>
      <c r="M41" s="24">
        <f t="shared" si="25"/>
        <v>40.878581358402805</v>
      </c>
      <c r="N41" s="2"/>
      <c r="O41" s="34"/>
      <c r="P41" s="2" t="str">
        <f t="shared" si="1"/>
        <v>Y</v>
      </c>
      <c r="Q41" s="2" t="str">
        <f t="shared" si="6"/>
        <v>N</v>
      </c>
      <c r="R41" s="2" t="str">
        <f t="shared" si="7"/>
        <v>N</v>
      </c>
      <c r="S41" s="2" t="str">
        <f t="shared" si="8"/>
        <v>N</v>
      </c>
      <c r="T41" s="2" t="b">
        <f t="shared" si="28"/>
        <v>1</v>
      </c>
      <c r="U41" s="2" t="b">
        <f t="shared" si="9"/>
        <v>0</v>
      </c>
      <c r="V41" s="2" t="b">
        <f t="shared" si="29"/>
        <v>0</v>
      </c>
      <c r="W41" s="2"/>
      <c r="X41" s="2"/>
    </row>
    <row r="42" spans="1:24" x14ac:dyDescent="0.25">
      <c r="A42" s="34">
        <v>43973</v>
      </c>
      <c r="B42" s="4"/>
      <c r="C42" s="5" t="str">
        <f t="shared" si="20"/>
        <v/>
      </c>
      <c r="D42" s="4"/>
      <c r="E42" s="4">
        <f t="shared" si="22"/>
        <v>80</v>
      </c>
      <c r="F42" s="34" t="str">
        <f t="shared" si="19"/>
        <v xml:space="preserve"> </v>
      </c>
      <c r="G42" s="4" t="str">
        <f t="shared" si="0"/>
        <v/>
      </c>
      <c r="H42" s="5" t="str">
        <f t="shared" si="21"/>
        <v/>
      </c>
      <c r="I42" s="4"/>
      <c r="J42" s="2"/>
      <c r="K42" s="24">
        <f t="shared" si="23"/>
        <v>66</v>
      </c>
      <c r="L42" s="24">
        <f t="shared" si="24"/>
        <v>89.977767480174876</v>
      </c>
      <c r="M42" s="24">
        <f t="shared" si="25"/>
        <v>42.022232519825131</v>
      </c>
      <c r="N42" s="2"/>
      <c r="O42" s="34"/>
      <c r="P42" s="2" t="str">
        <f t="shared" si="1"/>
        <v>Y</v>
      </c>
      <c r="Q42" s="2" t="str">
        <f t="shared" si="6"/>
        <v>N</v>
      </c>
      <c r="R42" s="2" t="str">
        <f t="shared" si="7"/>
        <v>N</v>
      </c>
      <c r="S42" s="2" t="str">
        <f t="shared" si="8"/>
        <v>N</v>
      </c>
      <c r="T42" s="2" t="b">
        <f t="shared" si="28"/>
        <v>1</v>
      </c>
      <c r="U42" s="2" t="b">
        <f t="shared" si="9"/>
        <v>0</v>
      </c>
      <c r="V42" s="2" t="b">
        <f t="shared" si="29"/>
        <v>0</v>
      </c>
      <c r="W42" s="2"/>
      <c r="X42" s="2"/>
    </row>
    <row r="43" spans="1:24" x14ac:dyDescent="0.25">
      <c r="A43" s="34">
        <v>43980</v>
      </c>
      <c r="B43" s="4"/>
      <c r="C43" s="5" t="str">
        <f t="shared" si="20"/>
        <v/>
      </c>
      <c r="D43" s="4"/>
      <c r="E43" s="4">
        <f t="shared" si="22"/>
        <v>80</v>
      </c>
      <c r="F43" s="34" t="str">
        <f t="shared" si="19"/>
        <v xml:space="preserve"> </v>
      </c>
      <c r="G43" s="4" t="str">
        <f t="shared" si="0"/>
        <v/>
      </c>
      <c r="H43" s="5" t="str">
        <f t="shared" si="21"/>
        <v/>
      </c>
      <c r="I43" s="4"/>
      <c r="J43" s="2"/>
      <c r="K43" s="24">
        <f t="shared" si="23"/>
        <v>68</v>
      </c>
      <c r="L43" s="24">
        <f t="shared" si="24"/>
        <v>92.83411631875255</v>
      </c>
      <c r="M43" s="24">
        <f t="shared" si="25"/>
        <v>43.165883681247458</v>
      </c>
      <c r="N43" s="2"/>
      <c r="O43" s="34"/>
      <c r="P43" s="2" t="str">
        <f t="shared" si="1"/>
        <v>Y</v>
      </c>
      <c r="Q43" s="2" t="str">
        <f t="shared" si="6"/>
        <v>N</v>
      </c>
      <c r="R43" s="2" t="str">
        <f t="shared" si="7"/>
        <v>N</v>
      </c>
      <c r="S43" s="2" t="str">
        <f t="shared" si="8"/>
        <v>N</v>
      </c>
      <c r="T43" s="2" t="b">
        <f t="shared" si="28"/>
        <v>1</v>
      </c>
      <c r="U43" s="2" t="b">
        <f t="shared" si="9"/>
        <v>0</v>
      </c>
      <c r="V43" s="2" t="b">
        <f t="shared" si="29"/>
        <v>0</v>
      </c>
      <c r="W43" s="2"/>
      <c r="X43" s="2"/>
    </row>
    <row r="44" spans="1:24" x14ac:dyDescent="0.25">
      <c r="A44" s="34">
        <v>43987</v>
      </c>
      <c r="B44" s="4"/>
      <c r="C44" s="5" t="str">
        <f t="shared" si="20"/>
        <v/>
      </c>
      <c r="D44" s="4"/>
      <c r="E44" s="4">
        <f t="shared" si="22"/>
        <v>80</v>
      </c>
      <c r="F44" s="34" t="str">
        <f t="shared" si="19"/>
        <v xml:space="preserve"> </v>
      </c>
      <c r="G44" s="4" t="str">
        <f t="shared" si="0"/>
        <v/>
      </c>
      <c r="H44" s="5" t="str">
        <f t="shared" si="21"/>
        <v/>
      </c>
      <c r="I44" s="4"/>
      <c r="J44" s="2"/>
      <c r="K44" s="24">
        <f t="shared" si="23"/>
        <v>70</v>
      </c>
      <c r="L44" s="24">
        <f t="shared" si="24"/>
        <v>95.690465157330223</v>
      </c>
      <c r="M44" s="24">
        <f t="shared" si="25"/>
        <v>44.309534842669784</v>
      </c>
      <c r="N44" s="2"/>
      <c r="O44" s="34"/>
      <c r="P44" s="2" t="str">
        <f t="shared" si="1"/>
        <v>Y</v>
      </c>
      <c r="Q44" s="2" t="str">
        <f t="shared" si="6"/>
        <v>N</v>
      </c>
      <c r="R44" s="2" t="str">
        <f t="shared" si="7"/>
        <v>N</v>
      </c>
      <c r="S44" s="2" t="str">
        <f t="shared" si="8"/>
        <v>N</v>
      </c>
      <c r="T44" s="2" t="b">
        <f t="shared" si="28"/>
        <v>1</v>
      </c>
      <c r="U44" s="2" t="b">
        <f t="shared" si="9"/>
        <v>0</v>
      </c>
      <c r="V44" s="2" t="b">
        <f t="shared" si="29"/>
        <v>0</v>
      </c>
      <c r="W44" s="2"/>
      <c r="X44" s="2"/>
    </row>
    <row r="45" spans="1:24" x14ac:dyDescent="0.25">
      <c r="A45" s="34">
        <v>43994</v>
      </c>
      <c r="B45" s="4"/>
      <c r="C45" s="5" t="str">
        <f t="shared" si="20"/>
        <v/>
      </c>
      <c r="D45" s="4"/>
      <c r="E45" s="4">
        <f t="shared" si="22"/>
        <v>80</v>
      </c>
      <c r="F45" s="34" t="str">
        <f t="shared" si="19"/>
        <v xml:space="preserve"> </v>
      </c>
      <c r="G45" s="4" t="str">
        <f t="shared" si="0"/>
        <v/>
      </c>
      <c r="H45" s="5" t="str">
        <f t="shared" si="21"/>
        <v/>
      </c>
      <c r="I45" s="4"/>
      <c r="J45" s="2"/>
      <c r="K45" s="24">
        <f t="shared" si="23"/>
        <v>72</v>
      </c>
      <c r="L45" s="24">
        <f t="shared" si="24"/>
        <v>98.546813995907897</v>
      </c>
      <c r="M45" s="24">
        <f t="shared" si="25"/>
        <v>45.45318600409211</v>
      </c>
      <c r="N45" s="2"/>
      <c r="O45" s="34"/>
      <c r="P45" s="2" t="str">
        <f t="shared" si="1"/>
        <v>Y</v>
      </c>
      <c r="Q45" s="2" t="str">
        <f t="shared" si="6"/>
        <v>N</v>
      </c>
      <c r="R45" s="2" t="str">
        <f t="shared" si="7"/>
        <v>N</v>
      </c>
      <c r="S45" s="2" t="str">
        <f t="shared" si="8"/>
        <v>N</v>
      </c>
      <c r="T45" s="2" t="b">
        <f t="shared" si="28"/>
        <v>1</v>
      </c>
      <c r="U45" s="2" t="b">
        <f t="shared" si="9"/>
        <v>0</v>
      </c>
      <c r="V45" s="2" t="b">
        <f t="shared" si="29"/>
        <v>0</v>
      </c>
      <c r="W45" s="2"/>
      <c r="X45" s="2"/>
    </row>
    <row r="46" spans="1:24" x14ac:dyDescent="0.25">
      <c r="A46" s="34">
        <v>44001</v>
      </c>
      <c r="B46" s="4"/>
      <c r="C46" s="5" t="str">
        <f t="shared" si="20"/>
        <v/>
      </c>
      <c r="D46" s="4"/>
      <c r="E46" s="4">
        <f t="shared" si="22"/>
        <v>80</v>
      </c>
      <c r="F46" s="34" t="str">
        <f t="shared" si="19"/>
        <v xml:space="preserve"> </v>
      </c>
      <c r="G46" s="4" t="str">
        <f t="shared" si="0"/>
        <v/>
      </c>
      <c r="H46" s="5" t="str">
        <f t="shared" si="21"/>
        <v/>
      </c>
      <c r="I46" s="4"/>
      <c r="J46" s="2"/>
      <c r="K46" s="24">
        <f t="shared" si="23"/>
        <v>74</v>
      </c>
      <c r="L46" s="24">
        <f t="shared" si="24"/>
        <v>101.40316283448557</v>
      </c>
      <c r="M46" s="24">
        <f t="shared" si="25"/>
        <v>46.596837165514437</v>
      </c>
      <c r="N46" s="2"/>
      <c r="O46" s="34"/>
      <c r="P46" s="2" t="str">
        <f t="shared" si="1"/>
        <v>Y</v>
      </c>
      <c r="Q46" s="2" t="str">
        <f t="shared" si="6"/>
        <v>N</v>
      </c>
      <c r="R46" s="2" t="str">
        <f t="shared" si="7"/>
        <v>N</v>
      </c>
      <c r="S46" s="2" t="str">
        <f t="shared" si="8"/>
        <v>N</v>
      </c>
      <c r="T46" s="2" t="b">
        <f t="shared" si="28"/>
        <v>1</v>
      </c>
      <c r="U46" s="2" t="b">
        <f t="shared" si="9"/>
        <v>0</v>
      </c>
      <c r="V46" s="2" t="b">
        <f t="shared" si="29"/>
        <v>0</v>
      </c>
      <c r="W46" s="2"/>
      <c r="X46" s="2"/>
    </row>
    <row r="47" spans="1:24" x14ac:dyDescent="0.25">
      <c r="A47" s="34">
        <v>44008</v>
      </c>
      <c r="B47" s="4"/>
      <c r="C47" s="5" t="str">
        <f t="shared" si="20"/>
        <v/>
      </c>
      <c r="D47" s="4"/>
      <c r="E47" s="4">
        <f t="shared" si="22"/>
        <v>80</v>
      </c>
      <c r="F47" s="34" t="str">
        <f t="shared" si="19"/>
        <v xml:space="preserve"> </v>
      </c>
      <c r="G47" s="4" t="str">
        <f t="shared" si="0"/>
        <v/>
      </c>
      <c r="H47" s="5" t="str">
        <f t="shared" si="21"/>
        <v/>
      </c>
      <c r="I47" s="4"/>
      <c r="J47" s="2"/>
      <c r="K47" s="24">
        <f t="shared" si="23"/>
        <v>76</v>
      </c>
      <c r="L47" s="24">
        <f t="shared" si="24"/>
        <v>104.25951167306324</v>
      </c>
      <c r="M47" s="24">
        <f t="shared" si="25"/>
        <v>47.740488326936763</v>
      </c>
      <c r="N47" s="2"/>
      <c r="O47" s="34"/>
      <c r="P47" s="2" t="str">
        <f t="shared" si="1"/>
        <v>Y</v>
      </c>
      <c r="Q47" s="2" t="str">
        <f t="shared" si="6"/>
        <v>N</v>
      </c>
      <c r="R47" s="2" t="str">
        <f t="shared" si="7"/>
        <v>N</v>
      </c>
      <c r="S47" s="2" t="str">
        <f t="shared" si="8"/>
        <v>N</v>
      </c>
      <c r="T47" s="2" t="b">
        <f t="shared" si="28"/>
        <v>1</v>
      </c>
      <c r="U47" s="2" t="b">
        <f t="shared" si="9"/>
        <v>0</v>
      </c>
      <c r="V47" s="2" t="b">
        <f t="shared" si="29"/>
        <v>0</v>
      </c>
      <c r="W47" s="2"/>
      <c r="X47" s="2"/>
    </row>
    <row r="48" spans="1:24" x14ac:dyDescent="0.25">
      <c r="A48" s="34">
        <v>44015</v>
      </c>
      <c r="B48" s="4"/>
      <c r="C48" s="5" t="str">
        <f t="shared" si="20"/>
        <v/>
      </c>
      <c r="D48" s="4"/>
      <c r="E48" s="4">
        <f t="shared" si="22"/>
        <v>80</v>
      </c>
      <c r="F48" s="34" t="str">
        <f t="shared" si="19"/>
        <v xml:space="preserve"> </v>
      </c>
      <c r="G48" s="4" t="str">
        <f t="shared" si="0"/>
        <v/>
      </c>
      <c r="H48" s="5" t="str">
        <f t="shared" si="21"/>
        <v/>
      </c>
      <c r="I48" s="4"/>
      <c r="J48" s="2"/>
      <c r="K48" s="24">
        <f t="shared" si="23"/>
        <v>78</v>
      </c>
      <c r="L48" s="24">
        <f t="shared" si="24"/>
        <v>107.11586051164092</v>
      </c>
      <c r="M48" s="24">
        <f t="shared" si="25"/>
        <v>48.884139488359089</v>
      </c>
      <c r="N48" s="2"/>
      <c r="O48" s="34"/>
      <c r="P48" s="2" t="str">
        <f t="shared" si="1"/>
        <v>Y</v>
      </c>
      <c r="Q48" s="2" t="str">
        <f t="shared" si="6"/>
        <v>N</v>
      </c>
      <c r="R48" s="2" t="str">
        <f t="shared" si="7"/>
        <v>N</v>
      </c>
      <c r="S48" s="2" t="str">
        <f t="shared" si="8"/>
        <v>N</v>
      </c>
      <c r="T48" s="2" t="b">
        <f t="shared" si="28"/>
        <v>1</v>
      </c>
      <c r="U48" s="2" t="b">
        <f t="shared" si="9"/>
        <v>0</v>
      </c>
      <c r="V48" s="2" t="b">
        <f t="shared" si="29"/>
        <v>0</v>
      </c>
      <c r="W48" s="2"/>
      <c r="X48" s="2"/>
    </row>
    <row r="49" spans="1:24" x14ac:dyDescent="0.25">
      <c r="A49" s="34">
        <v>44022</v>
      </c>
      <c r="B49" s="4"/>
      <c r="C49" s="5" t="str">
        <f t="shared" si="20"/>
        <v/>
      </c>
      <c r="D49" s="4"/>
      <c r="E49" s="4">
        <f t="shared" si="22"/>
        <v>80</v>
      </c>
      <c r="F49" s="34" t="str">
        <f t="shared" si="19"/>
        <v xml:space="preserve"> </v>
      </c>
      <c r="G49" s="4" t="str">
        <f t="shared" si="0"/>
        <v/>
      </c>
      <c r="H49" s="5" t="str">
        <f t="shared" si="21"/>
        <v/>
      </c>
      <c r="I49" s="4"/>
      <c r="J49" s="2"/>
      <c r="K49" s="24">
        <f t="shared" si="23"/>
        <v>80</v>
      </c>
      <c r="L49" s="24">
        <f t="shared" si="24"/>
        <v>109.97220935021859</v>
      </c>
      <c r="M49" s="24">
        <f t="shared" si="25"/>
        <v>50.027790649781416</v>
      </c>
      <c r="N49" s="2"/>
      <c r="O49" s="34"/>
      <c r="P49" s="2" t="str">
        <f t="shared" si="1"/>
        <v>Y</v>
      </c>
      <c r="Q49" s="2" t="str">
        <f t="shared" si="6"/>
        <v>N</v>
      </c>
      <c r="R49" s="2" t="str">
        <f t="shared" si="7"/>
        <v>N</v>
      </c>
      <c r="S49" s="2" t="str">
        <f t="shared" si="8"/>
        <v>N</v>
      </c>
      <c r="T49" s="2" t="b">
        <f t="shared" si="28"/>
        <v>1</v>
      </c>
      <c r="U49" s="2" t="b">
        <f t="shared" si="9"/>
        <v>0</v>
      </c>
      <c r="V49" s="2" t="b">
        <f t="shared" si="29"/>
        <v>0</v>
      </c>
      <c r="W49" s="2"/>
      <c r="X49" s="2"/>
    </row>
    <row r="50" spans="1:24" x14ac:dyDescent="0.25">
      <c r="A50" s="34">
        <v>44029</v>
      </c>
      <c r="B50" s="4"/>
      <c r="C50" s="5" t="str">
        <f t="shared" si="20"/>
        <v/>
      </c>
      <c r="D50" s="4"/>
      <c r="E50" s="4">
        <f t="shared" si="22"/>
        <v>80</v>
      </c>
      <c r="F50" s="34" t="str">
        <f t="shared" si="19"/>
        <v>07/17/2020</v>
      </c>
      <c r="G50" s="4" t="str">
        <f t="shared" si="0"/>
        <v/>
      </c>
      <c r="H50" s="5" t="str">
        <f t="shared" si="21"/>
        <v/>
      </c>
      <c r="I50" s="4"/>
      <c r="J50" s="2"/>
      <c r="K50" s="24">
        <f t="shared" si="23"/>
        <v>82</v>
      </c>
      <c r="L50" s="24">
        <f t="shared" si="24"/>
        <v>112.82855818879626</v>
      </c>
      <c r="M50" s="24">
        <f t="shared" si="25"/>
        <v>51.171441811203742</v>
      </c>
      <c r="N50" s="2"/>
      <c r="O50" s="34">
        <f t="shared" si="26"/>
        <v>44029</v>
      </c>
      <c r="P50" s="2" t="str">
        <f t="shared" si="1"/>
        <v>Y</v>
      </c>
      <c r="Q50" s="2" t="str">
        <f t="shared" si="6"/>
        <v>Y</v>
      </c>
      <c r="R50" s="2" t="str">
        <f t="shared" si="7"/>
        <v>N</v>
      </c>
      <c r="S50" s="2" t="str">
        <f t="shared" si="8"/>
        <v>N</v>
      </c>
      <c r="T50" s="2" t="b">
        <f t="shared" si="28"/>
        <v>0</v>
      </c>
      <c r="U50" s="2" t="b">
        <f t="shared" si="9"/>
        <v>0</v>
      </c>
      <c r="V50" s="2" t="b">
        <f t="shared" si="29"/>
        <v>1</v>
      </c>
      <c r="W50" s="2"/>
      <c r="X50" s="2"/>
    </row>
    <row r="51" spans="1:24" x14ac:dyDescent="0.25">
      <c r="A51" s="34">
        <v>44036</v>
      </c>
      <c r="B51" s="4"/>
      <c r="C51" s="5" t="str">
        <f t="shared" si="20"/>
        <v/>
      </c>
      <c r="D51" s="4"/>
      <c r="E51" s="4">
        <f t="shared" si="22"/>
        <v>80</v>
      </c>
      <c r="F51" s="34" t="str">
        <f t="shared" si="19"/>
        <v xml:space="preserve"> </v>
      </c>
      <c r="G51" s="4" t="str">
        <f t="shared" si="0"/>
        <v/>
      </c>
      <c r="H51" s="5" t="str">
        <f t="shared" si="21"/>
        <v/>
      </c>
      <c r="I51" s="4"/>
      <c r="J51" s="2"/>
      <c r="K51" s="24">
        <f t="shared" si="23"/>
        <v>84</v>
      </c>
      <c r="L51" s="24">
        <f t="shared" si="24"/>
        <v>115.68490702737394</v>
      </c>
      <c r="M51" s="24">
        <f t="shared" si="25"/>
        <v>52.315092972626069</v>
      </c>
      <c r="N51" s="2"/>
      <c r="O51" s="34"/>
      <c r="P51" s="2" t="str">
        <f t="shared" si="1"/>
        <v>Y</v>
      </c>
      <c r="Q51" s="2" t="str">
        <f t="shared" si="6"/>
        <v>Y</v>
      </c>
      <c r="R51" s="2" t="str">
        <f t="shared" si="7"/>
        <v>N</v>
      </c>
      <c r="S51" s="2" t="str">
        <f t="shared" si="8"/>
        <v>N</v>
      </c>
      <c r="T51" s="2" t="b">
        <f t="shared" si="28"/>
        <v>1</v>
      </c>
      <c r="U51" s="2" t="b">
        <f t="shared" si="9"/>
        <v>0</v>
      </c>
      <c r="V51" s="2" t="b">
        <f t="shared" si="29"/>
        <v>0</v>
      </c>
      <c r="W51" s="2"/>
      <c r="X51" s="2"/>
    </row>
    <row r="52" spans="1:24" x14ac:dyDescent="0.25">
      <c r="A52" s="34">
        <v>44043</v>
      </c>
      <c r="B52" s="4"/>
      <c r="C52" s="5" t="str">
        <f t="shared" si="20"/>
        <v/>
      </c>
      <c r="D52" s="4"/>
      <c r="E52" s="4">
        <f t="shared" si="22"/>
        <v>80</v>
      </c>
      <c r="F52" s="34" t="str">
        <f t="shared" si="19"/>
        <v xml:space="preserve"> </v>
      </c>
      <c r="G52" s="4" t="str">
        <f t="shared" si="0"/>
        <v/>
      </c>
      <c r="H52" s="5" t="str">
        <f t="shared" si="21"/>
        <v/>
      </c>
      <c r="I52" s="4"/>
      <c r="J52" s="2"/>
      <c r="K52" s="24">
        <f t="shared" si="23"/>
        <v>86</v>
      </c>
      <c r="L52" s="24">
        <f t="shared" si="24"/>
        <v>118.54125586595161</v>
      </c>
      <c r="M52" s="24">
        <f t="shared" si="25"/>
        <v>53.458744134048395</v>
      </c>
      <c r="N52" s="2"/>
      <c r="O52" s="34"/>
      <c r="P52" s="2" t="str">
        <f t="shared" si="1"/>
        <v>Y</v>
      </c>
      <c r="Q52" s="2" t="str">
        <f t="shared" si="6"/>
        <v>Y</v>
      </c>
      <c r="R52" s="2" t="str">
        <f t="shared" si="7"/>
        <v>N</v>
      </c>
      <c r="S52" s="2" t="str">
        <f t="shared" si="8"/>
        <v>N</v>
      </c>
      <c r="T52" s="2" t="b">
        <f t="shared" si="28"/>
        <v>1</v>
      </c>
      <c r="U52" s="2" t="b">
        <f t="shared" si="9"/>
        <v>0</v>
      </c>
      <c r="V52" s="2" t="b">
        <f t="shared" si="29"/>
        <v>0</v>
      </c>
      <c r="W52" s="2"/>
      <c r="X52" s="2"/>
    </row>
    <row r="53" spans="1:24" x14ac:dyDescent="0.25">
      <c r="A53" s="34">
        <v>44050</v>
      </c>
      <c r="B53" s="4"/>
      <c r="C53" s="5" t="str">
        <f t="shared" si="20"/>
        <v/>
      </c>
      <c r="D53" s="4"/>
      <c r="E53" s="4">
        <f t="shared" si="22"/>
        <v>80</v>
      </c>
      <c r="F53" s="34" t="str">
        <f t="shared" si="19"/>
        <v xml:space="preserve"> </v>
      </c>
      <c r="G53" s="4" t="str">
        <f t="shared" si="0"/>
        <v/>
      </c>
      <c r="H53" s="5" t="str">
        <f t="shared" si="21"/>
        <v/>
      </c>
      <c r="I53" s="4"/>
      <c r="J53" s="2"/>
      <c r="K53" s="24">
        <f t="shared" si="23"/>
        <v>88</v>
      </c>
      <c r="L53" s="24">
        <f t="shared" si="24"/>
        <v>121.39760470452929</v>
      </c>
      <c r="M53" s="24">
        <f t="shared" si="25"/>
        <v>54.602395295470721</v>
      </c>
      <c r="N53" s="2"/>
      <c r="O53" s="34"/>
      <c r="P53" s="2" t="str">
        <f t="shared" si="1"/>
        <v>Y</v>
      </c>
      <c r="Q53" s="2" t="str">
        <f t="shared" si="6"/>
        <v>Y</v>
      </c>
      <c r="R53" s="2" t="str">
        <f t="shared" si="7"/>
        <v>N</v>
      </c>
      <c r="S53" s="2" t="str">
        <f t="shared" si="8"/>
        <v>N</v>
      </c>
      <c r="T53" s="2" t="b">
        <f t="shared" si="28"/>
        <v>1</v>
      </c>
      <c r="U53" s="2" t="b">
        <f t="shared" si="9"/>
        <v>0</v>
      </c>
      <c r="V53" s="2" t="b">
        <f t="shared" si="29"/>
        <v>0</v>
      </c>
      <c r="W53" s="2"/>
      <c r="X53" s="2"/>
    </row>
    <row r="54" spans="1:24" x14ac:dyDescent="0.25">
      <c r="A54" s="34">
        <v>44057</v>
      </c>
      <c r="B54" s="4"/>
      <c r="C54" s="5" t="str">
        <f t="shared" si="20"/>
        <v/>
      </c>
      <c r="D54" s="4"/>
      <c r="E54" s="4">
        <f t="shared" si="22"/>
        <v>80</v>
      </c>
      <c r="F54" s="34" t="str">
        <f t="shared" si="19"/>
        <v xml:space="preserve"> </v>
      </c>
      <c r="G54" s="4" t="str">
        <f t="shared" si="0"/>
        <v/>
      </c>
      <c r="H54" s="5" t="str">
        <f t="shared" si="21"/>
        <v/>
      </c>
      <c r="I54" s="4"/>
      <c r="J54" s="2"/>
      <c r="K54" s="24">
        <f t="shared" si="23"/>
        <v>90</v>
      </c>
      <c r="L54" s="24">
        <f t="shared" si="24"/>
        <v>124.25395354310696</v>
      </c>
      <c r="M54" s="24">
        <f t="shared" si="25"/>
        <v>55.746046456893048</v>
      </c>
      <c r="N54" s="2"/>
      <c r="O54" s="34"/>
      <c r="P54" s="2" t="str">
        <f t="shared" si="1"/>
        <v>Y</v>
      </c>
      <c r="Q54" s="2" t="str">
        <f t="shared" si="6"/>
        <v>Y</v>
      </c>
      <c r="R54" s="2" t="str">
        <f t="shared" si="7"/>
        <v>N</v>
      </c>
      <c r="S54" s="2" t="str">
        <f t="shared" si="8"/>
        <v>N</v>
      </c>
      <c r="T54" s="2" t="b">
        <f t="shared" si="28"/>
        <v>1</v>
      </c>
      <c r="U54" s="2" t="b">
        <f t="shared" si="9"/>
        <v>0</v>
      </c>
      <c r="V54" s="2" t="b">
        <f t="shared" si="29"/>
        <v>0</v>
      </c>
      <c r="W54" s="2"/>
      <c r="X54" s="2"/>
    </row>
    <row r="55" spans="1:24" x14ac:dyDescent="0.25">
      <c r="A55" s="34">
        <v>44064</v>
      </c>
      <c r="B55" s="4"/>
      <c r="C55" s="5" t="str">
        <f t="shared" si="20"/>
        <v/>
      </c>
      <c r="D55" s="4"/>
      <c r="E55" s="4">
        <f t="shared" si="22"/>
        <v>80</v>
      </c>
      <c r="F55" s="34" t="str">
        <f t="shared" si="19"/>
        <v xml:space="preserve"> </v>
      </c>
      <c r="G55" s="4" t="str">
        <f t="shared" si="0"/>
        <v/>
      </c>
      <c r="H55" s="5" t="str">
        <f t="shared" si="21"/>
        <v/>
      </c>
      <c r="I55" s="4"/>
      <c r="J55" s="2"/>
      <c r="K55" s="24">
        <f t="shared" si="23"/>
        <v>92</v>
      </c>
      <c r="L55" s="24">
        <f t="shared" si="24"/>
        <v>127.11030238168463</v>
      </c>
      <c r="M55" s="24">
        <f t="shared" si="25"/>
        <v>56.889697618315374</v>
      </c>
      <c r="N55" s="2"/>
      <c r="O55" s="34"/>
      <c r="P55" s="2" t="str">
        <f t="shared" si="1"/>
        <v>Y</v>
      </c>
      <c r="Q55" s="2" t="str">
        <f t="shared" si="6"/>
        <v>Y</v>
      </c>
      <c r="R55" s="2" t="str">
        <f t="shared" si="7"/>
        <v>N</v>
      </c>
      <c r="S55" s="2" t="str">
        <f t="shared" si="8"/>
        <v>N</v>
      </c>
      <c r="T55" s="2" t="b">
        <f t="shared" si="28"/>
        <v>1</v>
      </c>
      <c r="U55" s="2" t="b">
        <f t="shared" si="9"/>
        <v>0</v>
      </c>
      <c r="V55" s="2" t="b">
        <f t="shared" si="29"/>
        <v>0</v>
      </c>
      <c r="W55" s="2"/>
      <c r="X55" s="2"/>
    </row>
    <row r="56" spans="1:24" x14ac:dyDescent="0.25">
      <c r="A56" s="34">
        <v>44071</v>
      </c>
      <c r="B56" s="4"/>
      <c r="C56" s="5" t="str">
        <f t="shared" si="20"/>
        <v/>
      </c>
      <c r="D56" s="4"/>
      <c r="E56" s="4">
        <f t="shared" si="22"/>
        <v>80</v>
      </c>
      <c r="F56" s="34" t="str">
        <f t="shared" si="19"/>
        <v xml:space="preserve"> </v>
      </c>
      <c r="G56" s="4" t="str">
        <f t="shared" si="0"/>
        <v/>
      </c>
      <c r="H56" s="5" t="str">
        <f t="shared" si="21"/>
        <v/>
      </c>
      <c r="I56" s="4"/>
      <c r="J56" s="2"/>
      <c r="K56" s="24">
        <f t="shared" si="23"/>
        <v>94</v>
      </c>
      <c r="L56" s="24">
        <f t="shared" si="24"/>
        <v>129.96665122026229</v>
      </c>
      <c r="M56" s="24">
        <f t="shared" si="25"/>
        <v>58.0333487797377</v>
      </c>
      <c r="N56" s="2"/>
      <c r="O56" s="34"/>
      <c r="P56" s="2" t="str">
        <f t="shared" si="1"/>
        <v>Y</v>
      </c>
      <c r="Q56" s="2" t="str">
        <f t="shared" si="6"/>
        <v>Y</v>
      </c>
      <c r="R56" s="2" t="str">
        <f t="shared" si="7"/>
        <v>N</v>
      </c>
      <c r="S56" s="2" t="str">
        <f t="shared" si="8"/>
        <v>N</v>
      </c>
      <c r="T56" s="2" t="b">
        <f t="shared" si="28"/>
        <v>1</v>
      </c>
      <c r="U56" s="2" t="b">
        <f t="shared" si="9"/>
        <v>0</v>
      </c>
      <c r="V56" s="2" t="b">
        <f t="shared" si="29"/>
        <v>0</v>
      </c>
      <c r="W56" s="2"/>
      <c r="X56" s="2"/>
    </row>
    <row r="57" spans="1:24" x14ac:dyDescent="0.25">
      <c r="A57" s="34">
        <v>44078</v>
      </c>
      <c r="B57" s="4"/>
      <c r="C57" s="5" t="str">
        <f t="shared" si="20"/>
        <v/>
      </c>
      <c r="D57" s="4"/>
      <c r="E57" s="4">
        <f t="shared" si="22"/>
        <v>80</v>
      </c>
      <c r="F57" s="34" t="str">
        <f t="shared" si="19"/>
        <v xml:space="preserve"> </v>
      </c>
      <c r="G57" s="4" t="str">
        <f t="shared" si="0"/>
        <v/>
      </c>
      <c r="H57" s="5" t="str">
        <f t="shared" si="21"/>
        <v/>
      </c>
      <c r="I57" s="4"/>
      <c r="J57" s="2"/>
      <c r="K57" s="24">
        <f t="shared" si="23"/>
        <v>96</v>
      </c>
      <c r="L57" s="24">
        <f t="shared" si="24"/>
        <v>132.82300005883997</v>
      </c>
      <c r="M57" s="24">
        <f t="shared" si="25"/>
        <v>59.176999941160027</v>
      </c>
      <c r="N57" s="2"/>
      <c r="O57" s="34"/>
      <c r="P57" s="2" t="str">
        <f t="shared" si="1"/>
        <v>Y</v>
      </c>
      <c r="Q57" s="2" t="str">
        <f t="shared" si="6"/>
        <v>Y</v>
      </c>
      <c r="R57" s="2" t="str">
        <f t="shared" si="7"/>
        <v>N</v>
      </c>
      <c r="S57" s="2" t="str">
        <f t="shared" si="8"/>
        <v>N</v>
      </c>
      <c r="T57" s="2" t="b">
        <f t="shared" si="28"/>
        <v>1</v>
      </c>
      <c r="U57" s="2" t="b">
        <f t="shared" si="9"/>
        <v>0</v>
      </c>
      <c r="V57" s="2" t="b">
        <f t="shared" si="29"/>
        <v>0</v>
      </c>
      <c r="W57" s="2"/>
      <c r="X57" s="2"/>
    </row>
    <row r="58" spans="1:24" x14ac:dyDescent="0.25">
      <c r="A58" s="34">
        <v>44085</v>
      </c>
      <c r="B58" s="4"/>
      <c r="C58" s="5" t="str">
        <f t="shared" si="20"/>
        <v/>
      </c>
      <c r="D58" s="4"/>
      <c r="E58" s="4">
        <f t="shared" si="22"/>
        <v>80</v>
      </c>
      <c r="F58" s="34" t="str">
        <f t="shared" si="19"/>
        <v xml:space="preserve"> </v>
      </c>
      <c r="G58" s="4" t="str">
        <f t="shared" si="0"/>
        <v/>
      </c>
      <c r="H58" s="5" t="str">
        <f t="shared" si="21"/>
        <v/>
      </c>
      <c r="I58" s="4"/>
      <c r="J58" s="2"/>
      <c r="K58" s="24">
        <f t="shared" si="23"/>
        <v>98</v>
      </c>
      <c r="L58" s="24">
        <f t="shared" si="24"/>
        <v>135.67934889741764</v>
      </c>
      <c r="M58" s="24">
        <f t="shared" si="25"/>
        <v>60.320651102582353</v>
      </c>
      <c r="N58" s="2"/>
      <c r="O58" s="34"/>
      <c r="P58" s="2" t="str">
        <f t="shared" si="1"/>
        <v>Y</v>
      </c>
      <c r="Q58" s="2" t="str">
        <f t="shared" si="6"/>
        <v>Y</v>
      </c>
      <c r="R58" s="2" t="str">
        <f t="shared" si="7"/>
        <v>N</v>
      </c>
      <c r="S58" s="2" t="str">
        <f t="shared" si="8"/>
        <v>N</v>
      </c>
      <c r="T58" s="2" t="b">
        <f t="shared" si="28"/>
        <v>1</v>
      </c>
      <c r="U58" s="2" t="b">
        <f t="shared" si="9"/>
        <v>0</v>
      </c>
      <c r="V58" s="2" t="b">
        <f t="shared" si="29"/>
        <v>0</v>
      </c>
      <c r="W58" s="2"/>
      <c r="X58" s="2"/>
    </row>
    <row r="59" spans="1:24" x14ac:dyDescent="0.25">
      <c r="A59" s="34">
        <v>44092</v>
      </c>
      <c r="B59" s="4"/>
      <c r="C59" s="5" t="str">
        <f t="shared" si="20"/>
        <v/>
      </c>
      <c r="D59" s="4"/>
      <c r="E59" s="4">
        <f t="shared" si="22"/>
        <v>80</v>
      </c>
      <c r="F59" s="34" t="str">
        <f t="shared" si="19"/>
        <v xml:space="preserve"> </v>
      </c>
      <c r="G59" s="4" t="str">
        <f t="shared" si="0"/>
        <v/>
      </c>
      <c r="H59" s="5" t="str">
        <f t="shared" si="21"/>
        <v/>
      </c>
      <c r="I59" s="4"/>
      <c r="J59" s="2"/>
      <c r="K59" s="24">
        <f t="shared" si="23"/>
        <v>100</v>
      </c>
      <c r="L59" s="24">
        <f t="shared" si="24"/>
        <v>138.53569773599531</v>
      </c>
      <c r="M59" s="24">
        <f t="shared" si="25"/>
        <v>61.464302264004679</v>
      </c>
      <c r="N59" s="2"/>
      <c r="O59" s="34"/>
      <c r="P59" s="2" t="str">
        <f t="shared" si="1"/>
        <v>Y</v>
      </c>
      <c r="Q59" s="2" t="str">
        <f t="shared" si="6"/>
        <v>Y</v>
      </c>
      <c r="R59" s="2" t="str">
        <f t="shared" si="7"/>
        <v>N</v>
      </c>
      <c r="S59" s="2" t="str">
        <f t="shared" si="8"/>
        <v>N</v>
      </c>
      <c r="T59" s="2" t="b">
        <f t="shared" si="28"/>
        <v>1</v>
      </c>
      <c r="U59" s="2" t="b">
        <f t="shared" si="9"/>
        <v>0</v>
      </c>
      <c r="V59" s="2" t="b">
        <f t="shared" si="29"/>
        <v>0</v>
      </c>
      <c r="W59" s="2"/>
      <c r="X59" s="2"/>
    </row>
    <row r="60" spans="1:24" x14ac:dyDescent="0.25">
      <c r="A60" s="34">
        <v>44099</v>
      </c>
      <c r="B60" s="4"/>
      <c r="C60" s="5" t="str">
        <f t="shared" si="20"/>
        <v/>
      </c>
      <c r="D60" s="4"/>
      <c r="E60" s="4">
        <f t="shared" si="22"/>
        <v>80</v>
      </c>
      <c r="F60" s="34" t="str">
        <f t="shared" si="19"/>
        <v xml:space="preserve"> </v>
      </c>
      <c r="G60" s="4" t="str">
        <f t="shared" si="0"/>
        <v/>
      </c>
      <c r="H60" s="5" t="str">
        <f t="shared" si="21"/>
        <v/>
      </c>
      <c r="I60" s="4"/>
      <c r="J60" s="2"/>
      <c r="K60" s="24">
        <f t="shared" si="23"/>
        <v>102</v>
      </c>
      <c r="L60" s="24">
        <f t="shared" si="24"/>
        <v>141.39204657457299</v>
      </c>
      <c r="M60" s="24">
        <f t="shared" si="25"/>
        <v>62.607953425427006</v>
      </c>
      <c r="N60" s="2"/>
      <c r="O60" s="34"/>
      <c r="P60" s="2" t="str">
        <f t="shared" si="1"/>
        <v>Y</v>
      </c>
      <c r="Q60" s="2" t="str">
        <f t="shared" si="6"/>
        <v>Y</v>
      </c>
      <c r="R60" s="2" t="str">
        <f t="shared" si="7"/>
        <v>N</v>
      </c>
      <c r="S60" s="2" t="str">
        <f t="shared" si="8"/>
        <v>N</v>
      </c>
      <c r="T60" s="2" t="b">
        <f t="shared" si="28"/>
        <v>1</v>
      </c>
      <c r="U60" s="2" t="b">
        <f t="shared" si="9"/>
        <v>0</v>
      </c>
      <c r="V60" s="2" t="b">
        <f t="shared" si="29"/>
        <v>0</v>
      </c>
      <c r="W60" s="2"/>
      <c r="X60" s="2"/>
    </row>
    <row r="61" spans="1:24" x14ac:dyDescent="0.25">
      <c r="A61" s="34">
        <v>44106</v>
      </c>
      <c r="B61" s="4"/>
      <c r="C61" s="5" t="str">
        <f t="shared" si="20"/>
        <v/>
      </c>
      <c r="D61" s="4"/>
      <c r="E61" s="4">
        <f t="shared" si="22"/>
        <v>80</v>
      </c>
      <c r="F61" s="34" t="str">
        <f t="shared" si="19"/>
        <v xml:space="preserve"> </v>
      </c>
      <c r="G61" s="4" t="str">
        <f t="shared" si="0"/>
        <v/>
      </c>
      <c r="H61" s="5" t="str">
        <f t="shared" si="21"/>
        <v/>
      </c>
      <c r="I61" s="4"/>
      <c r="J61" s="2"/>
      <c r="K61" s="24">
        <f t="shared" si="23"/>
        <v>104</v>
      </c>
      <c r="L61" s="24">
        <f t="shared" si="24"/>
        <v>144.24839541315066</v>
      </c>
      <c r="M61" s="24">
        <f t="shared" si="25"/>
        <v>63.751604586849339</v>
      </c>
      <c r="N61" s="2"/>
      <c r="O61" s="34"/>
      <c r="P61" s="2" t="str">
        <f t="shared" si="1"/>
        <v>Y</v>
      </c>
      <c r="Q61" s="2" t="str">
        <f t="shared" si="6"/>
        <v>Y</v>
      </c>
      <c r="R61" s="2" t="str">
        <f t="shared" si="7"/>
        <v>N</v>
      </c>
      <c r="S61" s="2" t="str">
        <f t="shared" si="8"/>
        <v>N</v>
      </c>
      <c r="T61" s="2" t="b">
        <f t="shared" si="28"/>
        <v>1</v>
      </c>
      <c r="U61" s="2" t="b">
        <f t="shared" si="9"/>
        <v>0</v>
      </c>
      <c r="V61" s="2" t="b">
        <f t="shared" si="29"/>
        <v>0</v>
      </c>
      <c r="W61" s="2"/>
      <c r="X61" s="2"/>
    </row>
    <row r="62" spans="1:24" x14ac:dyDescent="0.25">
      <c r="A62" s="34">
        <v>44113</v>
      </c>
      <c r="B62" s="4"/>
      <c r="C62" s="5" t="str">
        <f t="shared" si="20"/>
        <v/>
      </c>
      <c r="D62" s="4"/>
      <c r="E62" s="4">
        <f t="shared" si="22"/>
        <v>80</v>
      </c>
      <c r="F62" s="34" t="str">
        <f t="shared" si="19"/>
        <v xml:space="preserve"> </v>
      </c>
      <c r="G62" s="4" t="str">
        <f t="shared" si="0"/>
        <v/>
      </c>
      <c r="H62" s="5" t="str">
        <f t="shared" si="21"/>
        <v/>
      </c>
      <c r="I62" s="4"/>
      <c r="J62" s="2"/>
      <c r="K62" s="24">
        <f t="shared" si="23"/>
        <v>106</v>
      </c>
      <c r="L62" s="24">
        <f t="shared" si="24"/>
        <v>147.10474425172833</v>
      </c>
      <c r="M62" s="24">
        <f t="shared" si="25"/>
        <v>64.895255748271666</v>
      </c>
      <c r="N62" s="2"/>
      <c r="O62" s="34"/>
      <c r="P62" s="2" t="str">
        <f t="shared" si="1"/>
        <v>Y</v>
      </c>
      <c r="Q62" s="2" t="str">
        <f t="shared" si="6"/>
        <v>Y</v>
      </c>
      <c r="R62" s="2" t="str">
        <f t="shared" si="7"/>
        <v>N</v>
      </c>
      <c r="S62" s="2" t="str">
        <f t="shared" si="8"/>
        <v>N</v>
      </c>
      <c r="T62" s="2" t="b">
        <f t="shared" si="28"/>
        <v>1</v>
      </c>
      <c r="U62" s="2" t="b">
        <f t="shared" si="9"/>
        <v>0</v>
      </c>
      <c r="V62" s="2" t="b">
        <f t="shared" si="29"/>
        <v>0</v>
      </c>
      <c r="W62" s="2"/>
      <c r="X62" s="2"/>
    </row>
    <row r="63" spans="1:24" x14ac:dyDescent="0.25">
      <c r="A63" s="34">
        <v>44120</v>
      </c>
      <c r="B63" s="4"/>
      <c r="C63" s="5" t="str">
        <f t="shared" si="20"/>
        <v/>
      </c>
      <c r="D63" s="4"/>
      <c r="E63" s="4">
        <f t="shared" si="22"/>
        <v>80</v>
      </c>
      <c r="F63" s="34" t="str">
        <f t="shared" si="19"/>
        <v xml:space="preserve"> </v>
      </c>
      <c r="G63" s="4" t="str">
        <f t="shared" si="0"/>
        <v/>
      </c>
      <c r="H63" s="5" t="str">
        <f t="shared" si="21"/>
        <v/>
      </c>
      <c r="I63" s="4"/>
      <c r="J63" s="2"/>
      <c r="K63" s="24">
        <f t="shared" si="23"/>
        <v>108</v>
      </c>
      <c r="L63" s="24">
        <f t="shared" si="24"/>
        <v>149.96109309030601</v>
      </c>
      <c r="M63" s="24">
        <f t="shared" si="25"/>
        <v>66.038906909693992</v>
      </c>
      <c r="N63" s="2"/>
      <c r="O63" s="34"/>
      <c r="P63" s="2" t="str">
        <f t="shared" si="1"/>
        <v>Y</v>
      </c>
      <c r="Q63" s="2" t="str">
        <f t="shared" si="6"/>
        <v>Y</v>
      </c>
      <c r="R63" s="2" t="str">
        <f t="shared" si="7"/>
        <v>N</v>
      </c>
      <c r="S63" s="2" t="str">
        <f t="shared" si="8"/>
        <v>N</v>
      </c>
      <c r="T63" s="2" t="b">
        <f t="shared" si="28"/>
        <v>1</v>
      </c>
      <c r="U63" s="2" t="b">
        <f t="shared" si="9"/>
        <v>0</v>
      </c>
      <c r="V63" s="2" t="b">
        <f t="shared" si="29"/>
        <v>0</v>
      </c>
      <c r="W63" s="2"/>
      <c r="X63" s="2"/>
    </row>
    <row r="64" spans="1:24" x14ac:dyDescent="0.25">
      <c r="A64" s="34">
        <v>44127</v>
      </c>
      <c r="B64" s="4"/>
      <c r="C64" s="5" t="str">
        <f t="shared" si="20"/>
        <v/>
      </c>
      <c r="D64" s="4"/>
      <c r="E64" s="4">
        <f t="shared" si="22"/>
        <v>80</v>
      </c>
      <c r="F64" s="34" t="str">
        <f t="shared" si="19"/>
        <v xml:space="preserve"> </v>
      </c>
      <c r="G64" s="4" t="str">
        <f t="shared" si="0"/>
        <v/>
      </c>
      <c r="H64" s="5" t="str">
        <f t="shared" si="21"/>
        <v/>
      </c>
      <c r="I64" s="4"/>
      <c r="J64" s="2"/>
      <c r="K64" s="24">
        <f t="shared" si="23"/>
        <v>110</v>
      </c>
      <c r="L64" s="24">
        <f t="shared" si="24"/>
        <v>152.81744192888368</v>
      </c>
      <c r="M64" s="24">
        <f t="shared" si="25"/>
        <v>67.182558071116318</v>
      </c>
      <c r="N64" s="2"/>
      <c r="O64" s="34"/>
      <c r="P64" s="2" t="str">
        <f t="shared" si="1"/>
        <v>Y</v>
      </c>
      <c r="Q64" s="2" t="str">
        <f t="shared" si="6"/>
        <v>Y</v>
      </c>
      <c r="R64" s="2" t="str">
        <f t="shared" si="7"/>
        <v>N</v>
      </c>
      <c r="S64" s="2" t="str">
        <f t="shared" si="8"/>
        <v>N</v>
      </c>
      <c r="T64" s="2" t="b">
        <f t="shared" si="28"/>
        <v>1</v>
      </c>
      <c r="U64" s="2" t="b">
        <f t="shared" si="9"/>
        <v>0</v>
      </c>
      <c r="V64" s="2" t="b">
        <f t="shared" si="29"/>
        <v>0</v>
      </c>
      <c r="W64" s="2"/>
      <c r="X64" s="2"/>
    </row>
    <row r="65" spans="1:24" x14ac:dyDescent="0.25">
      <c r="A65" s="34">
        <v>44134</v>
      </c>
      <c r="B65" s="4"/>
      <c r="C65" s="5" t="str">
        <f t="shared" si="20"/>
        <v/>
      </c>
      <c r="D65" s="4"/>
      <c r="E65" s="4">
        <f t="shared" si="22"/>
        <v>80</v>
      </c>
      <c r="F65" s="34" t="str">
        <f t="shared" si="19"/>
        <v xml:space="preserve"> </v>
      </c>
      <c r="G65" s="4" t="str">
        <f t="shared" si="0"/>
        <v/>
      </c>
      <c r="H65" s="5" t="str">
        <f t="shared" si="21"/>
        <v/>
      </c>
      <c r="I65" s="4"/>
      <c r="J65" s="2"/>
      <c r="K65" s="24">
        <f t="shared" si="23"/>
        <v>112</v>
      </c>
      <c r="L65" s="24">
        <f t="shared" si="24"/>
        <v>155.67379076746136</v>
      </c>
      <c r="M65" s="24">
        <f t="shared" si="25"/>
        <v>68.326209232538645</v>
      </c>
      <c r="N65" s="2"/>
      <c r="O65" s="34"/>
      <c r="P65" s="2" t="str">
        <f t="shared" si="1"/>
        <v>Y</v>
      </c>
      <c r="Q65" s="2" t="str">
        <f t="shared" si="6"/>
        <v>Y</v>
      </c>
      <c r="R65" s="2" t="str">
        <f t="shared" si="7"/>
        <v>N</v>
      </c>
      <c r="S65" s="2" t="str">
        <f t="shared" si="8"/>
        <v>N</v>
      </c>
      <c r="T65" s="2" t="b">
        <f t="shared" si="28"/>
        <v>1</v>
      </c>
      <c r="U65" s="2" t="b">
        <f t="shared" si="9"/>
        <v>0</v>
      </c>
      <c r="V65" s="2" t="b">
        <f t="shared" si="29"/>
        <v>0</v>
      </c>
      <c r="W65" s="2"/>
      <c r="X65" s="2"/>
    </row>
    <row r="66" spans="1:24" x14ac:dyDescent="0.25">
      <c r="A66" s="34">
        <v>44141</v>
      </c>
      <c r="B66" s="4"/>
      <c r="C66" s="5" t="str">
        <f t="shared" si="20"/>
        <v/>
      </c>
      <c r="D66" s="4"/>
      <c r="E66" s="4">
        <f t="shared" si="22"/>
        <v>80</v>
      </c>
      <c r="F66" s="34" t="str">
        <f t="shared" si="19"/>
        <v xml:space="preserve"> </v>
      </c>
      <c r="G66" s="4" t="str">
        <f t="shared" si="0"/>
        <v/>
      </c>
      <c r="H66" s="5" t="str">
        <f t="shared" si="21"/>
        <v/>
      </c>
      <c r="I66" s="4"/>
      <c r="J66" s="2"/>
      <c r="K66" s="24">
        <f t="shared" si="23"/>
        <v>114</v>
      </c>
      <c r="L66" s="24">
        <f t="shared" si="24"/>
        <v>158.53013960603903</v>
      </c>
      <c r="M66" s="24">
        <f t="shared" si="25"/>
        <v>69.469860393960971</v>
      </c>
      <c r="N66" s="2"/>
      <c r="O66" s="34"/>
      <c r="P66" s="2" t="str">
        <f t="shared" si="1"/>
        <v>Y</v>
      </c>
      <c r="Q66" s="2" t="str">
        <f t="shared" si="6"/>
        <v>Y</v>
      </c>
      <c r="R66" s="2" t="str">
        <f t="shared" si="7"/>
        <v>N</v>
      </c>
      <c r="S66" s="2" t="str">
        <f t="shared" si="8"/>
        <v>N</v>
      </c>
      <c r="T66" s="2" t="b">
        <f t="shared" si="28"/>
        <v>1</v>
      </c>
      <c r="U66" s="2" t="b">
        <f t="shared" si="9"/>
        <v>0</v>
      </c>
      <c r="V66" s="2" t="b">
        <f t="shared" si="29"/>
        <v>0</v>
      </c>
      <c r="W66" s="2"/>
      <c r="X66" s="2"/>
    </row>
    <row r="67" spans="1:24" x14ac:dyDescent="0.25">
      <c r="A67" s="34">
        <v>44148</v>
      </c>
      <c r="B67" s="4"/>
      <c r="C67" s="5" t="str">
        <f t="shared" si="20"/>
        <v/>
      </c>
      <c r="D67" s="4"/>
      <c r="E67" s="4">
        <f t="shared" si="22"/>
        <v>80</v>
      </c>
      <c r="F67" s="34" t="str">
        <f t="shared" si="19"/>
        <v xml:space="preserve"> </v>
      </c>
      <c r="G67" s="4" t="str">
        <f t="shared" si="0"/>
        <v/>
      </c>
      <c r="H67" s="5" t="str">
        <f t="shared" si="21"/>
        <v/>
      </c>
      <c r="I67" s="4"/>
      <c r="J67" s="2"/>
      <c r="K67" s="24">
        <f t="shared" si="23"/>
        <v>116</v>
      </c>
      <c r="L67" s="24">
        <f t="shared" si="24"/>
        <v>161.3864884446167</v>
      </c>
      <c r="M67" s="24">
        <f t="shared" si="25"/>
        <v>70.613511555383297</v>
      </c>
      <c r="N67" s="2"/>
      <c r="O67" s="34"/>
      <c r="P67" s="2" t="str">
        <f t="shared" si="1"/>
        <v>Y</v>
      </c>
      <c r="Q67" s="2" t="str">
        <f t="shared" si="6"/>
        <v>Y</v>
      </c>
      <c r="R67" s="2" t="str">
        <f t="shared" si="7"/>
        <v>N</v>
      </c>
      <c r="S67" s="2" t="str">
        <f t="shared" si="8"/>
        <v>N</v>
      </c>
      <c r="T67" s="2" t="b">
        <f t="shared" si="28"/>
        <v>1</v>
      </c>
      <c r="U67" s="2" t="b">
        <f t="shared" si="9"/>
        <v>0</v>
      </c>
      <c r="V67" s="2" t="b">
        <f t="shared" si="29"/>
        <v>0</v>
      </c>
      <c r="W67" s="2"/>
      <c r="X67" s="2"/>
    </row>
    <row r="68" spans="1:24" x14ac:dyDescent="0.25">
      <c r="A68" s="34">
        <v>44155</v>
      </c>
      <c r="B68" s="4"/>
      <c r="C68" s="5" t="str">
        <f t="shared" si="20"/>
        <v/>
      </c>
      <c r="D68" s="4"/>
      <c r="E68" s="4">
        <f t="shared" si="22"/>
        <v>80</v>
      </c>
      <c r="F68" s="34" t="str">
        <f t="shared" si="19"/>
        <v xml:space="preserve"> </v>
      </c>
      <c r="G68" s="4" t="str">
        <f t="shared" si="0"/>
        <v/>
      </c>
      <c r="H68" s="5" t="str">
        <f t="shared" si="21"/>
        <v/>
      </c>
      <c r="I68" s="4"/>
      <c r="J68" s="2"/>
      <c r="K68" s="24">
        <f t="shared" si="23"/>
        <v>118</v>
      </c>
      <c r="L68" s="24">
        <f t="shared" si="24"/>
        <v>164.24283728319438</v>
      </c>
      <c r="M68" s="24">
        <f t="shared" si="25"/>
        <v>71.757162716805624</v>
      </c>
      <c r="N68" s="2"/>
      <c r="O68" s="34"/>
      <c r="P68" s="2" t="str">
        <f t="shared" si="1"/>
        <v>Y</v>
      </c>
      <c r="Q68" s="2" t="str">
        <f t="shared" si="6"/>
        <v>Y</v>
      </c>
      <c r="R68" s="2" t="str">
        <f t="shared" si="7"/>
        <v>N</v>
      </c>
      <c r="S68" s="2" t="str">
        <f t="shared" si="8"/>
        <v>N</v>
      </c>
      <c r="T68" s="2" t="b">
        <f t="shared" si="28"/>
        <v>1</v>
      </c>
      <c r="U68" s="2" t="b">
        <f t="shared" si="9"/>
        <v>0</v>
      </c>
      <c r="V68" s="2" t="b">
        <f t="shared" si="29"/>
        <v>0</v>
      </c>
      <c r="W68" s="2"/>
      <c r="X68" s="2"/>
    </row>
    <row r="69" spans="1:24" x14ac:dyDescent="0.25">
      <c r="A69" s="34">
        <v>44162</v>
      </c>
      <c r="B69" s="4"/>
      <c r="C69" s="5" t="str">
        <f t="shared" si="20"/>
        <v/>
      </c>
      <c r="D69" s="4"/>
      <c r="E69" s="4">
        <f t="shared" si="22"/>
        <v>80</v>
      </c>
      <c r="F69" s="34" t="str">
        <f t="shared" si="19"/>
        <v xml:space="preserve"> </v>
      </c>
      <c r="G69" s="4" t="str">
        <f t="shared" ref="G69:G115" si="30">IF(I69="","",I69)</f>
        <v/>
      </c>
      <c r="H69" s="5" t="str">
        <f t="shared" si="21"/>
        <v/>
      </c>
      <c r="I69" s="4"/>
      <c r="J69" s="2"/>
      <c r="K69" s="24">
        <f t="shared" si="23"/>
        <v>120</v>
      </c>
      <c r="L69" s="24">
        <f t="shared" si="24"/>
        <v>167.09918612177205</v>
      </c>
      <c r="M69" s="24">
        <f t="shared" si="25"/>
        <v>72.90081387822795</v>
      </c>
      <c r="N69" s="2"/>
      <c r="O69" s="34"/>
      <c r="P69" s="2" t="str">
        <f t="shared" ref="P69:P115" si="31">IF(L69&gt;E69,"Y","N")</f>
        <v>Y</v>
      </c>
      <c r="Q69" s="2" t="str">
        <f t="shared" si="6"/>
        <v>Y</v>
      </c>
      <c r="R69" s="2" t="str">
        <f t="shared" si="7"/>
        <v>N</v>
      </c>
      <c r="S69" s="2" t="str">
        <f t="shared" si="8"/>
        <v>N</v>
      </c>
      <c r="T69" s="2" t="b">
        <f t="shared" si="28"/>
        <v>1</v>
      </c>
      <c r="U69" s="2" t="b">
        <f t="shared" si="9"/>
        <v>0</v>
      </c>
      <c r="V69" s="2" t="b">
        <f t="shared" si="29"/>
        <v>0</v>
      </c>
      <c r="W69" s="2"/>
      <c r="X69" s="2"/>
    </row>
    <row r="70" spans="1:24" x14ac:dyDescent="0.25">
      <c r="A70" s="34">
        <v>44169</v>
      </c>
      <c r="B70" s="4"/>
      <c r="C70" s="5" t="str">
        <f t="shared" si="20"/>
        <v/>
      </c>
      <c r="D70" s="4"/>
      <c r="E70" s="4">
        <f t="shared" si="22"/>
        <v>80</v>
      </c>
      <c r="F70" s="34" t="str">
        <f t="shared" si="19"/>
        <v xml:space="preserve"> </v>
      </c>
      <c r="G70" s="4" t="str">
        <f t="shared" si="30"/>
        <v/>
      </c>
      <c r="H70" s="5" t="str">
        <f t="shared" si="21"/>
        <v/>
      </c>
      <c r="I70" s="4"/>
      <c r="J70" s="2"/>
      <c r="K70" s="24">
        <f t="shared" ref="K70:K115" si="32">IF(I70&lt;&gt;"",IF(D71="",J70,""),K69+$G$2)</f>
        <v>122</v>
      </c>
      <c r="L70" s="24">
        <f t="shared" ref="L70:L115" si="33">IF(I70&lt;&gt;"",IF(D71="",J70,""),L69+$G$2+$L$2)</f>
        <v>169.95553496034972</v>
      </c>
      <c r="M70" s="24">
        <f t="shared" ref="M70:M115" si="34">IF(J70&lt;&gt;"",IF(D71="",K70,""),M69+$G$2-$L$2)</f>
        <v>74.044465039650277</v>
      </c>
      <c r="N70" s="2"/>
      <c r="O70" s="34"/>
      <c r="P70" s="2" t="str">
        <f t="shared" si="31"/>
        <v>Y</v>
      </c>
      <c r="Q70" s="2" t="str">
        <f t="shared" ref="Q70:Q113" si="35">IF(K70&gt;E70,"Y","N")</f>
        <v>Y</v>
      </c>
      <c r="R70" s="2" t="str">
        <f t="shared" ref="R70:R113" si="36">IF(M70&gt;E70,"Y","N")</f>
        <v>N</v>
      </c>
      <c r="S70" s="2" t="str">
        <f t="shared" ref="S70:S113" si="37">IF(AND(ISBLANK(I71),NOT(ISBLANK(I70))),"Y","N")</f>
        <v>N</v>
      </c>
      <c r="T70" s="2" t="b">
        <f t="shared" si="28"/>
        <v>1</v>
      </c>
      <c r="U70" s="2" t="b">
        <f t="shared" ref="U70:U113" si="38">ISTEXT(O70)</f>
        <v>0</v>
      </c>
      <c r="V70" s="2" t="b">
        <f t="shared" si="29"/>
        <v>0</v>
      </c>
      <c r="W70" s="2"/>
      <c r="X70" s="2"/>
    </row>
    <row r="71" spans="1:24" x14ac:dyDescent="0.25">
      <c r="A71" s="34">
        <v>44176</v>
      </c>
      <c r="B71" s="4"/>
      <c r="C71" s="5" t="str">
        <f t="shared" si="20"/>
        <v/>
      </c>
      <c r="D71" s="4"/>
      <c r="E71" s="4">
        <f t="shared" ref="E71:E113" si="39">IF(I71&lt;&gt;"",IF(D72="",D71+$C$2,""),E70+$C$2)</f>
        <v>80</v>
      </c>
      <c r="F71" s="34" t="str">
        <f t="shared" ref="F71:F113" si="40">IF(OR(AND(S71="Y",S72="N"),AND(P71="Y",P70="N"),AND(Q71="Y",Q70="N"),AND(R71="Y",R70="N")),TEXT(A71,"mm/dd/yyyyy")," ")</f>
        <v xml:space="preserve"> </v>
      </c>
      <c r="G71" s="4" t="str">
        <f t="shared" si="30"/>
        <v/>
      </c>
      <c r="H71" s="5" t="str">
        <f t="shared" si="21"/>
        <v/>
      </c>
      <c r="I71" s="4"/>
      <c r="J71" s="2"/>
      <c r="K71" s="24">
        <f t="shared" si="32"/>
        <v>124</v>
      </c>
      <c r="L71" s="24">
        <f t="shared" si="33"/>
        <v>172.8118837989274</v>
      </c>
      <c r="M71" s="24">
        <f t="shared" si="34"/>
        <v>75.188116201072603</v>
      </c>
      <c r="N71" s="2"/>
      <c r="O71" s="34"/>
      <c r="P71" s="2" t="str">
        <f t="shared" si="31"/>
        <v>Y</v>
      </c>
      <c r="Q71" s="2" t="str">
        <f t="shared" si="35"/>
        <v>Y</v>
      </c>
      <c r="R71" s="2" t="str">
        <f t="shared" si="36"/>
        <v>N</v>
      </c>
      <c r="S71" s="2" t="str">
        <f t="shared" si="37"/>
        <v>N</v>
      </c>
      <c r="T71" s="2" t="b">
        <f t="shared" si="28"/>
        <v>1</v>
      </c>
      <c r="U71" s="2" t="b">
        <f t="shared" si="38"/>
        <v>0</v>
      </c>
      <c r="V71" s="2" t="b">
        <f t="shared" si="29"/>
        <v>0</v>
      </c>
      <c r="W71" s="2"/>
      <c r="X71" s="2"/>
    </row>
    <row r="72" spans="1:24" x14ac:dyDescent="0.25">
      <c r="A72" s="34">
        <v>44183</v>
      </c>
      <c r="B72" s="4"/>
      <c r="C72" s="5" t="str">
        <f t="shared" si="20"/>
        <v/>
      </c>
      <c r="D72" s="4"/>
      <c r="E72" s="4">
        <f t="shared" si="39"/>
        <v>80</v>
      </c>
      <c r="F72" s="34" t="str">
        <f t="shared" si="40"/>
        <v xml:space="preserve"> </v>
      </c>
      <c r="G72" s="4" t="str">
        <f t="shared" si="30"/>
        <v/>
      </c>
      <c r="H72" s="5" t="str">
        <f t="shared" si="21"/>
        <v/>
      </c>
      <c r="I72" s="4"/>
      <c r="J72" s="2"/>
      <c r="K72" s="24">
        <f t="shared" si="32"/>
        <v>126</v>
      </c>
      <c r="L72" s="24">
        <f t="shared" si="33"/>
        <v>175.66823263750507</v>
      </c>
      <c r="M72" s="24">
        <f t="shared" si="34"/>
        <v>76.331767362494929</v>
      </c>
      <c r="N72" s="2"/>
      <c r="O72" s="34"/>
      <c r="P72" s="2" t="str">
        <f t="shared" si="31"/>
        <v>Y</v>
      </c>
      <c r="Q72" s="2" t="str">
        <f t="shared" si="35"/>
        <v>Y</v>
      </c>
      <c r="R72" s="2" t="str">
        <f t="shared" si="36"/>
        <v>N</v>
      </c>
      <c r="S72" s="2" t="str">
        <f t="shared" si="37"/>
        <v>N</v>
      </c>
      <c r="T72" s="2" t="b">
        <f t="shared" si="28"/>
        <v>1</v>
      </c>
      <c r="U72" s="2" t="b">
        <f t="shared" si="38"/>
        <v>0</v>
      </c>
      <c r="V72" s="2" t="b">
        <f t="shared" si="29"/>
        <v>0</v>
      </c>
      <c r="W72" s="2"/>
      <c r="X72" s="2"/>
    </row>
    <row r="73" spans="1:24" x14ac:dyDescent="0.25">
      <c r="A73" s="34">
        <v>44190</v>
      </c>
      <c r="B73" s="4"/>
      <c r="C73" s="5" t="str">
        <f t="shared" ref="C73:C113" si="41">IF(B73="","",ROUND(AVERAGE(B70:B73),2))</f>
        <v/>
      </c>
      <c r="D73" s="4"/>
      <c r="E73" s="4">
        <f t="shared" si="39"/>
        <v>80</v>
      </c>
      <c r="F73" s="34" t="str">
        <f t="shared" si="40"/>
        <v xml:space="preserve"> </v>
      </c>
      <c r="G73" s="4" t="str">
        <f t="shared" si="30"/>
        <v/>
      </c>
      <c r="H73" s="5" t="str">
        <f t="shared" ref="H73:H113" si="42">IF(I73="","",ROUND(AVERAGE(G70:G73),2))</f>
        <v/>
      </c>
      <c r="I73" s="4"/>
      <c r="J73" s="2"/>
      <c r="K73" s="24">
        <f t="shared" si="32"/>
        <v>128</v>
      </c>
      <c r="L73" s="24">
        <f t="shared" si="33"/>
        <v>178.52458147608274</v>
      </c>
      <c r="M73" s="24">
        <f t="shared" si="34"/>
        <v>77.475418523917256</v>
      </c>
      <c r="N73" s="2"/>
      <c r="O73" s="34"/>
      <c r="P73" s="2" t="str">
        <f t="shared" si="31"/>
        <v>Y</v>
      </c>
      <c r="Q73" s="2" t="str">
        <f t="shared" si="35"/>
        <v>Y</v>
      </c>
      <c r="R73" s="2" t="str">
        <f t="shared" si="36"/>
        <v>N</v>
      </c>
      <c r="S73" s="2" t="str">
        <f t="shared" si="37"/>
        <v>N</v>
      </c>
      <c r="T73" s="2" t="b">
        <f t="shared" si="28"/>
        <v>1</v>
      </c>
      <c r="U73" s="2" t="b">
        <f t="shared" si="38"/>
        <v>0</v>
      </c>
      <c r="V73" s="2" t="b">
        <f t="shared" si="29"/>
        <v>0</v>
      </c>
      <c r="W73" s="2"/>
      <c r="X73" s="2"/>
    </row>
    <row r="74" spans="1:24" x14ac:dyDescent="0.25">
      <c r="A74" s="34">
        <v>44197</v>
      </c>
      <c r="B74" s="4"/>
      <c r="C74" s="5" t="str">
        <f t="shared" si="41"/>
        <v/>
      </c>
      <c r="D74" s="4"/>
      <c r="E74" s="4">
        <f t="shared" si="39"/>
        <v>80</v>
      </c>
      <c r="F74" s="34" t="str">
        <f t="shared" si="40"/>
        <v xml:space="preserve"> </v>
      </c>
      <c r="G74" s="4" t="str">
        <f t="shared" si="30"/>
        <v/>
      </c>
      <c r="H74" s="5" t="str">
        <f t="shared" si="42"/>
        <v/>
      </c>
      <c r="I74" s="4"/>
      <c r="J74" s="2"/>
      <c r="K74" s="24">
        <f t="shared" si="32"/>
        <v>130</v>
      </c>
      <c r="L74" s="24">
        <f t="shared" si="33"/>
        <v>181.38093031466042</v>
      </c>
      <c r="M74" s="24">
        <f t="shared" si="34"/>
        <v>78.619069685339582</v>
      </c>
      <c r="N74" s="2"/>
      <c r="O74" s="34"/>
      <c r="P74" s="2" t="str">
        <f t="shared" si="31"/>
        <v>Y</v>
      </c>
      <c r="Q74" s="2" t="str">
        <f t="shared" si="35"/>
        <v>Y</v>
      </c>
      <c r="R74" s="2" t="str">
        <f t="shared" si="36"/>
        <v>N</v>
      </c>
      <c r="S74" s="2" t="str">
        <f t="shared" si="37"/>
        <v>N</v>
      </c>
      <c r="T74" s="2" t="b">
        <f t="shared" si="28"/>
        <v>1</v>
      </c>
      <c r="U74" s="2" t="b">
        <f t="shared" si="38"/>
        <v>0</v>
      </c>
      <c r="V74" s="2" t="b">
        <f t="shared" si="29"/>
        <v>0</v>
      </c>
      <c r="W74" s="2"/>
      <c r="X74" s="2"/>
    </row>
    <row r="75" spans="1:24" x14ac:dyDescent="0.25">
      <c r="A75" s="34">
        <v>44204</v>
      </c>
      <c r="B75" s="4"/>
      <c r="C75" s="5" t="str">
        <f t="shared" si="41"/>
        <v/>
      </c>
      <c r="D75" s="4"/>
      <c r="E75" s="4">
        <f t="shared" si="39"/>
        <v>80</v>
      </c>
      <c r="F75" s="34" t="str">
        <f t="shared" si="40"/>
        <v xml:space="preserve"> </v>
      </c>
      <c r="G75" s="4" t="str">
        <f t="shared" si="30"/>
        <v/>
      </c>
      <c r="H75" s="5" t="str">
        <f t="shared" si="42"/>
        <v/>
      </c>
      <c r="I75" s="4"/>
      <c r="J75" s="2"/>
      <c r="K75" s="24">
        <f t="shared" si="32"/>
        <v>132</v>
      </c>
      <c r="L75" s="24">
        <f t="shared" si="33"/>
        <v>184.23727915323809</v>
      </c>
      <c r="M75" s="24">
        <f t="shared" si="34"/>
        <v>79.762720846761908</v>
      </c>
      <c r="N75" s="2"/>
      <c r="O75" s="34"/>
      <c r="P75" s="2" t="str">
        <f t="shared" si="31"/>
        <v>Y</v>
      </c>
      <c r="Q75" s="2" t="str">
        <f t="shared" si="35"/>
        <v>Y</v>
      </c>
      <c r="R75" s="2" t="str">
        <f t="shared" si="36"/>
        <v>N</v>
      </c>
      <c r="S75" s="2" t="str">
        <f t="shared" si="37"/>
        <v>N</v>
      </c>
      <c r="T75" s="2" t="b">
        <f t="shared" si="28"/>
        <v>1</v>
      </c>
      <c r="U75" s="2" t="b">
        <f t="shared" si="38"/>
        <v>0</v>
      </c>
      <c r="V75" s="2" t="b">
        <f t="shared" si="29"/>
        <v>0</v>
      </c>
      <c r="W75" s="2"/>
      <c r="X75" s="2"/>
    </row>
    <row r="76" spans="1:24" x14ac:dyDescent="0.25">
      <c r="A76" s="34">
        <v>44211</v>
      </c>
      <c r="B76" s="4"/>
      <c r="C76" s="5" t="str">
        <f t="shared" si="41"/>
        <v/>
      </c>
      <c r="D76" s="4"/>
      <c r="E76" s="4">
        <f t="shared" si="39"/>
        <v>80</v>
      </c>
      <c r="F76" s="34" t="str">
        <f t="shared" si="40"/>
        <v>01/15/2021</v>
      </c>
      <c r="G76" s="4" t="str">
        <f t="shared" si="30"/>
        <v/>
      </c>
      <c r="H76" s="5" t="str">
        <f t="shared" si="42"/>
        <v/>
      </c>
      <c r="I76" s="4"/>
      <c r="J76" s="2"/>
      <c r="K76" s="24">
        <f t="shared" si="32"/>
        <v>134</v>
      </c>
      <c r="L76" s="24">
        <f t="shared" si="33"/>
        <v>187.09362799181577</v>
      </c>
      <c r="M76" s="24">
        <f t="shared" si="34"/>
        <v>80.906372008184235</v>
      </c>
      <c r="N76" s="2"/>
      <c r="O76" s="34">
        <f t="shared" ref="O69:O113" si="43">IF(F76&lt;&gt; " ",DATEVALUE(F76)," ")</f>
        <v>44211</v>
      </c>
      <c r="P76" s="2" t="str">
        <f t="shared" si="31"/>
        <v>Y</v>
      </c>
      <c r="Q76" s="2" t="str">
        <f t="shared" si="35"/>
        <v>Y</v>
      </c>
      <c r="R76" s="2" t="str">
        <f t="shared" si="36"/>
        <v>Y</v>
      </c>
      <c r="S76" s="2" t="str">
        <f t="shared" si="37"/>
        <v>N</v>
      </c>
      <c r="T76" s="2" t="b">
        <f t="shared" si="28"/>
        <v>0</v>
      </c>
      <c r="U76" s="2" t="b">
        <f t="shared" si="38"/>
        <v>0</v>
      </c>
      <c r="V76" s="2" t="b">
        <f t="shared" si="29"/>
        <v>1</v>
      </c>
      <c r="W76" s="2"/>
      <c r="X76" s="2"/>
    </row>
    <row r="77" spans="1:24" x14ac:dyDescent="0.25">
      <c r="A77" s="34">
        <v>44218</v>
      </c>
      <c r="B77" s="4"/>
      <c r="C77" s="5" t="str">
        <f t="shared" si="41"/>
        <v/>
      </c>
      <c r="D77" s="4"/>
      <c r="E77" s="4">
        <f t="shared" si="39"/>
        <v>80</v>
      </c>
      <c r="F77" s="34" t="str">
        <f t="shared" si="40"/>
        <v xml:space="preserve"> </v>
      </c>
      <c r="G77" s="4" t="str">
        <f t="shared" si="30"/>
        <v/>
      </c>
      <c r="H77" s="5" t="str">
        <f t="shared" si="42"/>
        <v/>
      </c>
      <c r="I77" s="4"/>
      <c r="J77" s="2"/>
      <c r="K77" s="24">
        <f t="shared" si="32"/>
        <v>136</v>
      </c>
      <c r="L77" s="24">
        <f t="shared" si="33"/>
        <v>189.94997683039344</v>
      </c>
      <c r="M77" s="24">
        <f t="shared" si="34"/>
        <v>82.050023169606561</v>
      </c>
      <c r="N77" s="2"/>
      <c r="O77" s="34"/>
      <c r="P77" s="2" t="str">
        <f t="shared" si="31"/>
        <v>Y</v>
      </c>
      <c r="Q77" s="2" t="str">
        <f t="shared" si="35"/>
        <v>Y</v>
      </c>
      <c r="R77" s="2" t="str">
        <f t="shared" si="36"/>
        <v>Y</v>
      </c>
      <c r="S77" s="2" t="str">
        <f t="shared" si="37"/>
        <v>N</v>
      </c>
      <c r="T77" s="2" t="b">
        <f t="shared" si="28"/>
        <v>1</v>
      </c>
      <c r="U77" s="2" t="b">
        <f t="shared" si="38"/>
        <v>0</v>
      </c>
      <c r="V77" s="2" t="b">
        <f t="shared" si="29"/>
        <v>0</v>
      </c>
      <c r="W77" s="2"/>
      <c r="X77" s="2"/>
    </row>
    <row r="78" spans="1:24" x14ac:dyDescent="0.25">
      <c r="A78" s="34">
        <v>44225</v>
      </c>
      <c r="B78" s="4"/>
      <c r="C78" s="5" t="str">
        <f t="shared" si="41"/>
        <v/>
      </c>
      <c r="D78" s="4"/>
      <c r="E78" s="4">
        <f t="shared" si="39"/>
        <v>80</v>
      </c>
      <c r="F78" s="34" t="str">
        <f t="shared" si="40"/>
        <v xml:space="preserve"> </v>
      </c>
      <c r="G78" s="4" t="str">
        <f t="shared" si="30"/>
        <v/>
      </c>
      <c r="H78" s="5" t="str">
        <f t="shared" si="42"/>
        <v/>
      </c>
      <c r="I78" s="4"/>
      <c r="J78" s="2"/>
      <c r="K78" s="24">
        <f t="shared" si="32"/>
        <v>138</v>
      </c>
      <c r="L78" s="24">
        <f t="shared" si="33"/>
        <v>192.80632566897111</v>
      </c>
      <c r="M78" s="24">
        <f t="shared" si="34"/>
        <v>83.193674331028888</v>
      </c>
      <c r="N78" s="2"/>
      <c r="O78" s="34"/>
      <c r="P78" s="2" t="str">
        <f t="shared" si="31"/>
        <v>Y</v>
      </c>
      <c r="Q78" s="2" t="str">
        <f t="shared" si="35"/>
        <v>Y</v>
      </c>
      <c r="R78" s="2" t="str">
        <f t="shared" si="36"/>
        <v>Y</v>
      </c>
      <c r="S78" s="2" t="str">
        <f t="shared" si="37"/>
        <v>N</v>
      </c>
      <c r="T78" s="2" t="b">
        <f t="shared" si="28"/>
        <v>1</v>
      </c>
      <c r="U78" s="2" t="b">
        <f t="shared" si="38"/>
        <v>0</v>
      </c>
      <c r="V78" s="2" t="b">
        <f t="shared" si="29"/>
        <v>0</v>
      </c>
      <c r="W78" s="2"/>
      <c r="X78" s="2"/>
    </row>
    <row r="79" spans="1:24" x14ac:dyDescent="0.25">
      <c r="A79" s="34">
        <v>44232</v>
      </c>
      <c r="B79" s="4"/>
      <c r="C79" s="5" t="str">
        <f t="shared" si="41"/>
        <v/>
      </c>
      <c r="D79" s="4"/>
      <c r="E79" s="4">
        <f t="shared" si="39"/>
        <v>80</v>
      </c>
      <c r="F79" s="34" t="str">
        <f t="shared" si="40"/>
        <v xml:space="preserve"> </v>
      </c>
      <c r="G79" s="4" t="str">
        <f t="shared" si="30"/>
        <v/>
      </c>
      <c r="H79" s="5" t="str">
        <f t="shared" si="42"/>
        <v/>
      </c>
      <c r="I79" s="4"/>
      <c r="J79" s="2"/>
      <c r="K79" s="24">
        <f t="shared" si="32"/>
        <v>140</v>
      </c>
      <c r="L79" s="24">
        <f t="shared" si="33"/>
        <v>195.66267450754879</v>
      </c>
      <c r="M79" s="24">
        <f t="shared" si="34"/>
        <v>84.337325492451214</v>
      </c>
      <c r="N79" s="2"/>
      <c r="O79" s="34"/>
      <c r="P79" s="2" t="str">
        <f t="shared" si="31"/>
        <v>Y</v>
      </c>
      <c r="Q79" s="2" t="str">
        <f t="shared" si="35"/>
        <v>Y</v>
      </c>
      <c r="R79" s="2" t="str">
        <f t="shared" si="36"/>
        <v>Y</v>
      </c>
      <c r="S79" s="2" t="str">
        <f t="shared" si="37"/>
        <v>N</v>
      </c>
      <c r="T79" s="2" t="b">
        <f t="shared" si="28"/>
        <v>1</v>
      </c>
      <c r="U79" s="2" t="b">
        <f t="shared" si="38"/>
        <v>0</v>
      </c>
      <c r="V79" s="2" t="b">
        <f t="shared" si="29"/>
        <v>0</v>
      </c>
      <c r="W79" s="2"/>
      <c r="X79" s="2"/>
    </row>
    <row r="80" spans="1:24" x14ac:dyDescent="0.25">
      <c r="A80" s="34">
        <v>44239</v>
      </c>
      <c r="B80" s="4"/>
      <c r="C80" s="5" t="str">
        <f t="shared" si="41"/>
        <v/>
      </c>
      <c r="D80" s="4"/>
      <c r="E80" s="4">
        <f t="shared" si="39"/>
        <v>80</v>
      </c>
      <c r="F80" s="34" t="str">
        <f t="shared" si="40"/>
        <v xml:space="preserve"> </v>
      </c>
      <c r="G80" s="4" t="str">
        <f t="shared" si="30"/>
        <v/>
      </c>
      <c r="H80" s="5" t="str">
        <f t="shared" si="42"/>
        <v/>
      </c>
      <c r="I80" s="4"/>
      <c r="J80" s="2"/>
      <c r="K80" s="24">
        <f t="shared" si="32"/>
        <v>142</v>
      </c>
      <c r="L80" s="24">
        <f t="shared" si="33"/>
        <v>198.51902334612646</v>
      </c>
      <c r="M80" s="24">
        <f t="shared" si="34"/>
        <v>85.48097665387354</v>
      </c>
      <c r="N80" s="2"/>
      <c r="O80" s="34"/>
      <c r="P80" s="2" t="str">
        <f t="shared" si="31"/>
        <v>Y</v>
      </c>
      <c r="Q80" s="2" t="str">
        <f t="shared" si="35"/>
        <v>Y</v>
      </c>
      <c r="R80" s="2" t="str">
        <f t="shared" si="36"/>
        <v>Y</v>
      </c>
      <c r="S80" s="2" t="str">
        <f t="shared" si="37"/>
        <v>N</v>
      </c>
      <c r="T80" s="2" t="b">
        <f t="shared" si="28"/>
        <v>1</v>
      </c>
      <c r="U80" s="2" t="b">
        <f t="shared" si="38"/>
        <v>0</v>
      </c>
      <c r="V80" s="2" t="b">
        <f t="shared" si="29"/>
        <v>0</v>
      </c>
      <c r="W80" s="2">
        <v>1</v>
      </c>
      <c r="X80" s="2">
        <v>100</v>
      </c>
    </row>
    <row r="81" spans="1:24" x14ac:dyDescent="0.25">
      <c r="A81" s="34">
        <v>44246</v>
      </c>
      <c r="B81" s="4"/>
      <c r="C81" s="5" t="str">
        <f t="shared" si="41"/>
        <v/>
      </c>
      <c r="D81" s="4"/>
      <c r="E81" s="4">
        <f t="shared" si="39"/>
        <v>80</v>
      </c>
      <c r="F81" s="34" t="str">
        <f t="shared" si="40"/>
        <v xml:space="preserve"> </v>
      </c>
      <c r="G81" s="4" t="str">
        <f t="shared" si="30"/>
        <v/>
      </c>
      <c r="H81" s="5" t="str">
        <f t="shared" si="42"/>
        <v/>
      </c>
      <c r="I81" s="4"/>
      <c r="J81" s="2"/>
      <c r="K81" s="24">
        <f t="shared" si="32"/>
        <v>144</v>
      </c>
      <c r="L81" s="24">
        <f t="shared" si="33"/>
        <v>201.37537218470413</v>
      </c>
      <c r="M81" s="24">
        <f t="shared" si="34"/>
        <v>86.624627815295867</v>
      </c>
      <c r="N81" s="2"/>
      <c r="O81" s="34"/>
      <c r="P81" s="2" t="str">
        <f t="shared" si="31"/>
        <v>Y</v>
      </c>
      <c r="Q81" s="2" t="str">
        <f t="shared" si="35"/>
        <v>Y</v>
      </c>
      <c r="R81" s="2" t="str">
        <f t="shared" si="36"/>
        <v>Y</v>
      </c>
      <c r="S81" s="2" t="str">
        <f t="shared" si="37"/>
        <v>N</v>
      </c>
      <c r="T81" s="2" t="b">
        <f t="shared" si="28"/>
        <v>1</v>
      </c>
      <c r="U81" s="2" t="b">
        <f t="shared" si="38"/>
        <v>0</v>
      </c>
      <c r="V81" s="2" t="b">
        <f t="shared" si="29"/>
        <v>0</v>
      </c>
      <c r="W81" s="2">
        <v>2</v>
      </c>
      <c r="X81" s="2">
        <v>75</v>
      </c>
    </row>
    <row r="82" spans="1:24" x14ac:dyDescent="0.25">
      <c r="A82" s="34">
        <v>44253</v>
      </c>
      <c r="B82" s="4"/>
      <c r="C82" s="5" t="str">
        <f t="shared" si="41"/>
        <v/>
      </c>
      <c r="D82" s="4"/>
      <c r="E82" s="4">
        <f t="shared" si="39"/>
        <v>80</v>
      </c>
      <c r="F82" s="34" t="str">
        <f t="shared" si="40"/>
        <v xml:space="preserve"> </v>
      </c>
      <c r="G82" s="4" t="str">
        <f t="shared" si="30"/>
        <v/>
      </c>
      <c r="H82" s="5" t="str">
        <f t="shared" si="42"/>
        <v/>
      </c>
      <c r="I82" s="4"/>
      <c r="J82" s="2"/>
      <c r="K82" s="24">
        <f t="shared" si="32"/>
        <v>146</v>
      </c>
      <c r="L82" s="24">
        <f t="shared" si="33"/>
        <v>204.23172102328181</v>
      </c>
      <c r="M82" s="24">
        <f t="shared" si="34"/>
        <v>87.768278976718193</v>
      </c>
      <c r="N82" s="2"/>
      <c r="O82" s="34"/>
      <c r="P82" s="2" t="str">
        <f t="shared" si="31"/>
        <v>Y</v>
      </c>
      <c r="Q82" s="2" t="str">
        <f t="shared" si="35"/>
        <v>Y</v>
      </c>
      <c r="R82" s="2" t="str">
        <f t="shared" si="36"/>
        <v>Y</v>
      </c>
      <c r="S82" s="2" t="str">
        <f t="shared" si="37"/>
        <v>N</v>
      </c>
      <c r="T82" s="2" t="b">
        <f t="shared" si="28"/>
        <v>1</v>
      </c>
      <c r="U82" s="2" t="b">
        <f t="shared" si="38"/>
        <v>0</v>
      </c>
      <c r="V82" s="2" t="b">
        <f t="shared" si="29"/>
        <v>0</v>
      </c>
      <c r="W82" s="2">
        <v>3</v>
      </c>
      <c r="X82" s="2">
        <v>65</v>
      </c>
    </row>
    <row r="83" spans="1:24" x14ac:dyDescent="0.25">
      <c r="A83" s="34">
        <v>44260</v>
      </c>
      <c r="B83" s="4"/>
      <c r="C83" s="5" t="str">
        <f t="shared" si="41"/>
        <v/>
      </c>
      <c r="D83" s="4"/>
      <c r="E83" s="4">
        <f t="shared" si="39"/>
        <v>80</v>
      </c>
      <c r="F83" s="34" t="str">
        <f t="shared" si="40"/>
        <v xml:space="preserve"> </v>
      </c>
      <c r="G83" s="4" t="str">
        <f t="shared" si="30"/>
        <v/>
      </c>
      <c r="H83" s="5" t="str">
        <f t="shared" si="42"/>
        <v/>
      </c>
      <c r="I83" s="4"/>
      <c r="J83" s="2"/>
      <c r="K83" s="24">
        <f t="shared" si="32"/>
        <v>148</v>
      </c>
      <c r="L83" s="24">
        <f t="shared" si="33"/>
        <v>207.08806986185948</v>
      </c>
      <c r="M83" s="24">
        <f t="shared" si="34"/>
        <v>88.911930138140519</v>
      </c>
      <c r="N83" s="2"/>
      <c r="O83" s="34"/>
      <c r="P83" s="2" t="str">
        <f t="shared" si="31"/>
        <v>Y</v>
      </c>
      <c r="Q83" s="2" t="str">
        <f t="shared" si="35"/>
        <v>Y</v>
      </c>
      <c r="R83" s="2" t="str">
        <f t="shared" si="36"/>
        <v>Y</v>
      </c>
      <c r="S83" s="2" t="str">
        <f t="shared" si="37"/>
        <v>N</v>
      </c>
      <c r="T83" s="2" t="b">
        <f t="shared" si="28"/>
        <v>1</v>
      </c>
      <c r="U83" s="2" t="b">
        <f t="shared" si="38"/>
        <v>0</v>
      </c>
      <c r="V83" s="2" t="b">
        <f t="shared" si="29"/>
        <v>0</v>
      </c>
      <c r="W83" s="2">
        <v>4</v>
      </c>
      <c r="X83" s="2">
        <v>50</v>
      </c>
    </row>
    <row r="84" spans="1:24" x14ac:dyDescent="0.25">
      <c r="A84" s="34">
        <v>44267</v>
      </c>
      <c r="B84" s="4"/>
      <c r="C84" s="5" t="str">
        <f t="shared" si="41"/>
        <v/>
      </c>
      <c r="D84" s="4"/>
      <c r="E84" s="4">
        <f t="shared" si="39"/>
        <v>80</v>
      </c>
      <c r="F84" s="34" t="str">
        <f t="shared" si="40"/>
        <v xml:space="preserve"> </v>
      </c>
      <c r="G84" s="4" t="str">
        <f t="shared" si="30"/>
        <v/>
      </c>
      <c r="H84" s="5" t="str">
        <f t="shared" si="42"/>
        <v/>
      </c>
      <c r="I84" s="4"/>
      <c r="J84" s="2"/>
      <c r="K84" s="24">
        <f t="shared" si="32"/>
        <v>150</v>
      </c>
      <c r="L84" s="24">
        <f t="shared" si="33"/>
        <v>209.94441870043715</v>
      </c>
      <c r="M84" s="24">
        <f t="shared" si="34"/>
        <v>90.055581299562846</v>
      </c>
      <c r="N84" s="2"/>
      <c r="O84" s="34"/>
      <c r="P84" s="2" t="str">
        <f t="shared" si="31"/>
        <v>Y</v>
      </c>
      <c r="Q84" s="2" t="str">
        <f t="shared" si="35"/>
        <v>Y</v>
      </c>
      <c r="R84" s="2" t="str">
        <f t="shared" si="36"/>
        <v>Y</v>
      </c>
      <c r="S84" s="2" t="str">
        <f t="shared" si="37"/>
        <v>N</v>
      </c>
      <c r="T84" s="2" t="b">
        <f t="shared" si="28"/>
        <v>1</v>
      </c>
      <c r="U84" s="2" t="b">
        <f t="shared" si="38"/>
        <v>0</v>
      </c>
      <c r="V84" s="2" t="b">
        <f t="shared" si="29"/>
        <v>0</v>
      </c>
      <c r="W84" s="2"/>
      <c r="X84" s="2"/>
    </row>
    <row r="85" spans="1:24" x14ac:dyDescent="0.25">
      <c r="A85" s="34">
        <v>44274</v>
      </c>
      <c r="B85" s="4"/>
      <c r="C85" s="5" t="str">
        <f t="shared" si="41"/>
        <v/>
      </c>
      <c r="D85" s="4"/>
      <c r="E85" s="4">
        <f t="shared" si="39"/>
        <v>80</v>
      </c>
      <c r="F85" s="34" t="str">
        <f t="shared" si="40"/>
        <v xml:space="preserve"> </v>
      </c>
      <c r="G85" s="4" t="str">
        <f t="shared" si="30"/>
        <v/>
      </c>
      <c r="H85" s="5" t="str">
        <f t="shared" si="42"/>
        <v/>
      </c>
      <c r="I85" s="4"/>
      <c r="J85" s="2"/>
      <c r="K85" s="24">
        <f t="shared" si="32"/>
        <v>152</v>
      </c>
      <c r="L85" s="24">
        <f t="shared" si="33"/>
        <v>212.80076753901483</v>
      </c>
      <c r="M85" s="24">
        <f t="shared" si="34"/>
        <v>91.199232460985172</v>
      </c>
      <c r="N85" s="2"/>
      <c r="O85" s="34"/>
      <c r="P85" s="2" t="str">
        <f t="shared" si="31"/>
        <v>Y</v>
      </c>
      <c r="Q85" s="2" t="str">
        <f t="shared" si="35"/>
        <v>Y</v>
      </c>
      <c r="R85" s="2" t="str">
        <f t="shared" si="36"/>
        <v>Y</v>
      </c>
      <c r="S85" s="2" t="str">
        <f t="shared" si="37"/>
        <v>N</v>
      </c>
      <c r="T85" s="2" t="b">
        <f t="shared" si="28"/>
        <v>1</v>
      </c>
      <c r="U85" s="2" t="b">
        <f t="shared" si="38"/>
        <v>0</v>
      </c>
      <c r="V85" s="2" t="b">
        <f t="shared" si="29"/>
        <v>0</v>
      </c>
      <c r="W85" s="2">
        <v>1</v>
      </c>
      <c r="X85" s="1">
        <f>VLOOKUP(W85,W80:X83,2,FALSE)</f>
        <v>100</v>
      </c>
    </row>
    <row r="86" spans="1:24" x14ac:dyDescent="0.25">
      <c r="A86" s="34">
        <v>44281</v>
      </c>
      <c r="B86" s="4"/>
      <c r="C86" s="5" t="str">
        <f t="shared" si="41"/>
        <v/>
      </c>
      <c r="D86" s="4"/>
      <c r="E86" s="4">
        <f t="shared" si="39"/>
        <v>80</v>
      </c>
      <c r="F86" s="34" t="str">
        <f t="shared" si="40"/>
        <v xml:space="preserve"> </v>
      </c>
      <c r="G86" s="4" t="str">
        <f t="shared" si="30"/>
        <v/>
      </c>
      <c r="H86" s="5" t="str">
        <f t="shared" si="42"/>
        <v/>
      </c>
      <c r="I86" s="4"/>
      <c r="J86" s="2"/>
      <c r="K86" s="24">
        <f t="shared" si="32"/>
        <v>154</v>
      </c>
      <c r="L86" s="24">
        <f t="shared" si="33"/>
        <v>215.6571163775925</v>
      </c>
      <c r="M86" s="24">
        <f t="shared" si="34"/>
        <v>92.342883622407498</v>
      </c>
      <c r="N86" s="2"/>
      <c r="O86" s="34"/>
      <c r="P86" s="2" t="str">
        <f t="shared" si="31"/>
        <v>Y</v>
      </c>
      <c r="Q86" s="2" t="str">
        <f t="shared" si="35"/>
        <v>Y</v>
      </c>
      <c r="R86" s="2" t="str">
        <f t="shared" si="36"/>
        <v>Y</v>
      </c>
      <c r="S86" s="2" t="str">
        <f t="shared" si="37"/>
        <v>N</v>
      </c>
      <c r="T86" s="2" t="b">
        <f t="shared" si="28"/>
        <v>1</v>
      </c>
      <c r="U86" s="2" t="b">
        <f t="shared" si="38"/>
        <v>0</v>
      </c>
      <c r="V86" s="2" t="b">
        <f t="shared" si="29"/>
        <v>0</v>
      </c>
      <c r="W86" s="2"/>
      <c r="X86" s="2"/>
    </row>
    <row r="87" spans="1:24" x14ac:dyDescent="0.25">
      <c r="A87" s="34">
        <v>44288</v>
      </c>
      <c r="B87" s="4"/>
      <c r="C87" s="5" t="str">
        <f t="shared" si="41"/>
        <v/>
      </c>
      <c r="D87" s="4"/>
      <c r="E87" s="4">
        <f t="shared" si="39"/>
        <v>80</v>
      </c>
      <c r="F87" s="34" t="str">
        <f t="shared" si="40"/>
        <v xml:space="preserve"> </v>
      </c>
      <c r="G87" s="4" t="str">
        <f t="shared" si="30"/>
        <v/>
      </c>
      <c r="H87" s="5" t="str">
        <f t="shared" si="42"/>
        <v/>
      </c>
      <c r="I87" s="4"/>
      <c r="J87" s="2"/>
      <c r="K87" s="24">
        <f t="shared" si="32"/>
        <v>156</v>
      </c>
      <c r="L87" s="24">
        <f t="shared" si="33"/>
        <v>218.51346521617018</v>
      </c>
      <c r="M87" s="24">
        <f t="shared" si="34"/>
        <v>93.486534783829825</v>
      </c>
      <c r="N87" s="2"/>
      <c r="O87" s="34"/>
      <c r="P87" s="2" t="str">
        <f t="shared" si="31"/>
        <v>Y</v>
      </c>
      <c r="Q87" s="2" t="str">
        <f t="shared" si="35"/>
        <v>Y</v>
      </c>
      <c r="R87" s="2" t="str">
        <f t="shared" si="36"/>
        <v>Y</v>
      </c>
      <c r="S87" s="2" t="str">
        <f t="shared" si="37"/>
        <v>N</v>
      </c>
      <c r="T87" s="2" t="b">
        <f t="shared" si="28"/>
        <v>1</v>
      </c>
      <c r="U87" s="2" t="b">
        <f t="shared" si="38"/>
        <v>0</v>
      </c>
      <c r="V87" s="2" t="b">
        <f t="shared" si="29"/>
        <v>0</v>
      </c>
      <c r="W87" s="2"/>
      <c r="X87" s="2"/>
    </row>
    <row r="88" spans="1:24" x14ac:dyDescent="0.25">
      <c r="A88" s="34">
        <v>44295</v>
      </c>
      <c r="B88" s="4"/>
      <c r="C88" s="5" t="str">
        <f t="shared" si="41"/>
        <v/>
      </c>
      <c r="D88" s="4"/>
      <c r="E88" s="4">
        <f t="shared" si="39"/>
        <v>80</v>
      </c>
      <c r="F88" s="34" t="str">
        <f t="shared" si="40"/>
        <v xml:space="preserve"> </v>
      </c>
      <c r="G88" s="4" t="str">
        <f t="shared" si="30"/>
        <v/>
      </c>
      <c r="H88" s="5" t="str">
        <f t="shared" si="42"/>
        <v/>
      </c>
      <c r="I88" s="4"/>
      <c r="J88" s="2"/>
      <c r="K88" s="24">
        <f t="shared" si="32"/>
        <v>158</v>
      </c>
      <c r="L88" s="24">
        <f t="shared" si="33"/>
        <v>221.36981405474785</v>
      </c>
      <c r="M88" s="24">
        <f t="shared" si="34"/>
        <v>94.630185945252151</v>
      </c>
      <c r="N88" s="2"/>
      <c r="O88" s="34"/>
      <c r="P88" s="2" t="str">
        <f t="shared" si="31"/>
        <v>Y</v>
      </c>
      <c r="Q88" s="2" t="str">
        <f t="shared" si="35"/>
        <v>Y</v>
      </c>
      <c r="R88" s="2" t="str">
        <f t="shared" si="36"/>
        <v>Y</v>
      </c>
      <c r="S88" s="2" t="str">
        <f t="shared" si="37"/>
        <v>N</v>
      </c>
      <c r="T88" s="2" t="b">
        <f t="shared" si="28"/>
        <v>1</v>
      </c>
      <c r="U88" s="2" t="b">
        <f t="shared" si="38"/>
        <v>0</v>
      </c>
      <c r="V88" s="2" t="b">
        <f t="shared" si="29"/>
        <v>0</v>
      </c>
      <c r="W88" s="2"/>
      <c r="X88" s="2"/>
    </row>
    <row r="89" spans="1:24" x14ac:dyDescent="0.25">
      <c r="A89" s="34">
        <v>44302</v>
      </c>
      <c r="B89" s="4"/>
      <c r="C89" s="5" t="str">
        <f t="shared" si="41"/>
        <v/>
      </c>
      <c r="D89" s="4"/>
      <c r="E89" s="4">
        <f t="shared" si="39"/>
        <v>80</v>
      </c>
      <c r="F89" s="34" t="str">
        <f t="shared" si="40"/>
        <v xml:space="preserve"> </v>
      </c>
      <c r="G89" s="4" t="str">
        <f t="shared" si="30"/>
        <v/>
      </c>
      <c r="H89" s="5" t="str">
        <f t="shared" si="42"/>
        <v/>
      </c>
      <c r="I89" s="4"/>
      <c r="J89" s="2"/>
      <c r="K89" s="24">
        <f t="shared" si="32"/>
        <v>160</v>
      </c>
      <c r="L89" s="24">
        <f t="shared" si="33"/>
        <v>224.22616289332552</v>
      </c>
      <c r="M89" s="24">
        <f t="shared" si="34"/>
        <v>95.773837106674478</v>
      </c>
      <c r="N89" s="2"/>
      <c r="O89" s="34"/>
      <c r="P89" s="2" t="str">
        <f t="shared" si="31"/>
        <v>Y</v>
      </c>
      <c r="Q89" s="2" t="str">
        <f t="shared" si="35"/>
        <v>Y</v>
      </c>
      <c r="R89" s="2" t="str">
        <f t="shared" si="36"/>
        <v>Y</v>
      </c>
      <c r="S89" s="2" t="str">
        <f t="shared" si="37"/>
        <v>N</v>
      </c>
      <c r="T89" s="2" t="b">
        <f t="shared" si="28"/>
        <v>1</v>
      </c>
      <c r="U89" s="2" t="b">
        <f t="shared" si="38"/>
        <v>0</v>
      </c>
      <c r="V89" s="2" t="b">
        <f t="shared" si="29"/>
        <v>0</v>
      </c>
      <c r="W89" s="2"/>
      <c r="X89" s="2"/>
    </row>
    <row r="90" spans="1:24" x14ac:dyDescent="0.25">
      <c r="A90" s="34">
        <v>44309</v>
      </c>
      <c r="B90" s="4"/>
      <c r="C90" s="5" t="str">
        <f t="shared" si="41"/>
        <v/>
      </c>
      <c r="D90" s="4"/>
      <c r="E90" s="4">
        <f t="shared" si="39"/>
        <v>80</v>
      </c>
      <c r="F90" s="34" t="str">
        <f t="shared" si="40"/>
        <v xml:space="preserve"> </v>
      </c>
      <c r="G90" s="4" t="str">
        <f t="shared" si="30"/>
        <v/>
      </c>
      <c r="H90" s="5" t="str">
        <f t="shared" si="42"/>
        <v/>
      </c>
      <c r="I90" s="4"/>
      <c r="J90" s="2"/>
      <c r="K90" s="24">
        <f t="shared" si="32"/>
        <v>162</v>
      </c>
      <c r="L90" s="24">
        <f t="shared" si="33"/>
        <v>227.0825117319032</v>
      </c>
      <c r="M90" s="24">
        <f t="shared" si="34"/>
        <v>96.917488268096804</v>
      </c>
      <c r="N90" s="2"/>
      <c r="O90" s="34"/>
      <c r="P90" s="2" t="str">
        <f t="shared" si="31"/>
        <v>Y</v>
      </c>
      <c r="Q90" s="2" t="str">
        <f t="shared" si="35"/>
        <v>Y</v>
      </c>
      <c r="R90" s="2" t="str">
        <f t="shared" si="36"/>
        <v>Y</v>
      </c>
      <c r="S90" s="2" t="str">
        <f t="shared" si="37"/>
        <v>N</v>
      </c>
      <c r="T90" s="2" t="b">
        <f t="shared" si="28"/>
        <v>1</v>
      </c>
      <c r="U90" s="2" t="b">
        <f t="shared" si="38"/>
        <v>0</v>
      </c>
      <c r="V90" s="2" t="b">
        <f t="shared" si="29"/>
        <v>0</v>
      </c>
      <c r="W90" s="2"/>
      <c r="X90" s="2"/>
    </row>
    <row r="91" spans="1:24" x14ac:dyDescent="0.25">
      <c r="A91" s="34">
        <v>44316</v>
      </c>
      <c r="B91" s="4"/>
      <c r="C91" s="5" t="str">
        <f t="shared" si="41"/>
        <v/>
      </c>
      <c r="D91" s="4"/>
      <c r="E91" s="4">
        <f t="shared" si="39"/>
        <v>80</v>
      </c>
      <c r="F91" s="34" t="str">
        <f t="shared" si="40"/>
        <v xml:space="preserve"> </v>
      </c>
      <c r="G91" s="4" t="str">
        <f t="shared" si="30"/>
        <v/>
      </c>
      <c r="H91" s="5" t="str">
        <f t="shared" si="42"/>
        <v/>
      </c>
      <c r="I91" s="4"/>
      <c r="J91" s="2"/>
      <c r="K91" s="24">
        <f t="shared" si="32"/>
        <v>164</v>
      </c>
      <c r="L91" s="24">
        <f t="shared" si="33"/>
        <v>229.93886057048087</v>
      </c>
      <c r="M91" s="24">
        <f t="shared" si="34"/>
        <v>98.06113942951913</v>
      </c>
      <c r="N91" s="2"/>
      <c r="O91" s="34"/>
      <c r="P91" s="2" t="str">
        <f t="shared" si="31"/>
        <v>Y</v>
      </c>
      <c r="Q91" s="2" t="str">
        <f t="shared" si="35"/>
        <v>Y</v>
      </c>
      <c r="R91" s="2" t="str">
        <f t="shared" si="36"/>
        <v>Y</v>
      </c>
      <c r="S91" s="2" t="str">
        <f t="shared" si="37"/>
        <v>N</v>
      </c>
      <c r="T91" s="2" t="b">
        <f t="shared" si="28"/>
        <v>1</v>
      </c>
      <c r="U91" s="2" t="b">
        <f t="shared" si="38"/>
        <v>0</v>
      </c>
      <c r="V91" s="2" t="b">
        <f t="shared" si="29"/>
        <v>0</v>
      </c>
      <c r="W91" s="2"/>
      <c r="X91" s="2">
        <v>0</v>
      </c>
    </row>
    <row r="92" spans="1:24" x14ac:dyDescent="0.25">
      <c r="A92" s="34">
        <v>44323</v>
      </c>
      <c r="B92" s="4"/>
      <c r="C92" s="5" t="str">
        <f t="shared" si="41"/>
        <v/>
      </c>
      <c r="D92" s="4"/>
      <c r="E92" s="4">
        <f t="shared" si="39"/>
        <v>80</v>
      </c>
      <c r="F92" s="34" t="str">
        <f t="shared" si="40"/>
        <v xml:space="preserve"> </v>
      </c>
      <c r="G92" s="4" t="str">
        <f t="shared" si="30"/>
        <v/>
      </c>
      <c r="H92" s="5" t="str">
        <f t="shared" si="42"/>
        <v/>
      </c>
      <c r="I92" s="4"/>
      <c r="J92" s="2"/>
      <c r="K92" s="24">
        <f t="shared" si="32"/>
        <v>166</v>
      </c>
      <c r="L92" s="24">
        <f t="shared" si="33"/>
        <v>232.79520940905854</v>
      </c>
      <c r="M92" s="24">
        <f t="shared" si="34"/>
        <v>99.204790590941457</v>
      </c>
      <c r="N92" s="2"/>
      <c r="O92" s="34"/>
      <c r="P92" s="2" t="str">
        <f t="shared" si="31"/>
        <v>Y</v>
      </c>
      <c r="Q92" s="2" t="str">
        <f t="shared" si="35"/>
        <v>Y</v>
      </c>
      <c r="R92" s="2" t="str">
        <f t="shared" si="36"/>
        <v>Y</v>
      </c>
      <c r="S92" s="2" t="str">
        <f t="shared" si="37"/>
        <v>N</v>
      </c>
      <c r="T92" s="2" t="b">
        <f t="shared" si="28"/>
        <v>1</v>
      </c>
      <c r="U92" s="2" t="b">
        <f t="shared" si="38"/>
        <v>0</v>
      </c>
      <c r="V92" s="2" t="b">
        <f t="shared" si="29"/>
        <v>0</v>
      </c>
      <c r="W92" s="2">
        <v>1</v>
      </c>
      <c r="X92" s="2">
        <v>1</v>
      </c>
    </row>
    <row r="93" spans="1:24" x14ac:dyDescent="0.25">
      <c r="A93" s="34">
        <v>44330</v>
      </c>
      <c r="B93" s="4"/>
      <c r="C93" s="5" t="str">
        <f t="shared" si="41"/>
        <v/>
      </c>
      <c r="D93" s="4"/>
      <c r="E93" s="4">
        <f t="shared" si="39"/>
        <v>80</v>
      </c>
      <c r="F93" s="34" t="str">
        <f t="shared" si="40"/>
        <v xml:space="preserve"> </v>
      </c>
      <c r="G93" s="4" t="str">
        <f t="shared" si="30"/>
        <v/>
      </c>
      <c r="H93" s="5" t="str">
        <f t="shared" si="42"/>
        <v/>
      </c>
      <c r="I93" s="4"/>
      <c r="J93" s="2"/>
      <c r="K93" s="24">
        <f t="shared" si="32"/>
        <v>168</v>
      </c>
      <c r="L93" s="24">
        <f t="shared" si="33"/>
        <v>235.65155824763622</v>
      </c>
      <c r="M93" s="24">
        <f t="shared" si="34"/>
        <v>100.34844175236378</v>
      </c>
      <c r="N93" s="2"/>
      <c r="O93" s="34"/>
      <c r="P93" s="2" t="str">
        <f t="shared" si="31"/>
        <v>Y</v>
      </c>
      <c r="Q93" s="2" t="str">
        <f t="shared" si="35"/>
        <v>Y</v>
      </c>
      <c r="R93" s="2" t="str">
        <f t="shared" si="36"/>
        <v>Y</v>
      </c>
      <c r="S93" s="2" t="str">
        <f t="shared" si="37"/>
        <v>N</v>
      </c>
      <c r="T93" s="2" t="b">
        <f t="shared" si="28"/>
        <v>1</v>
      </c>
      <c r="U93" s="2" t="b">
        <f t="shared" si="38"/>
        <v>0</v>
      </c>
      <c r="V93" s="2" t="b">
        <f t="shared" si="29"/>
        <v>0</v>
      </c>
      <c r="W93" s="2">
        <v>2</v>
      </c>
      <c r="X93" s="2">
        <v>2</v>
      </c>
    </row>
    <row r="94" spans="1:24" x14ac:dyDescent="0.25">
      <c r="A94" s="34">
        <v>44337</v>
      </c>
      <c r="B94" s="4"/>
      <c r="C94" s="5" t="str">
        <f t="shared" si="41"/>
        <v/>
      </c>
      <c r="D94" s="4"/>
      <c r="E94" s="4">
        <f t="shared" si="39"/>
        <v>80</v>
      </c>
      <c r="F94" s="34" t="str">
        <f t="shared" si="40"/>
        <v xml:space="preserve"> </v>
      </c>
      <c r="G94" s="4" t="str">
        <f t="shared" si="30"/>
        <v/>
      </c>
      <c r="H94" s="5" t="str">
        <f t="shared" si="42"/>
        <v/>
      </c>
      <c r="I94" s="4"/>
      <c r="J94" s="2"/>
      <c r="K94" s="24">
        <f t="shared" si="32"/>
        <v>170</v>
      </c>
      <c r="L94" s="24">
        <f t="shared" si="33"/>
        <v>238.50790708621389</v>
      </c>
      <c r="M94" s="24">
        <f t="shared" si="34"/>
        <v>101.49209291378611</v>
      </c>
      <c r="N94" s="2"/>
      <c r="O94" s="34"/>
      <c r="P94" s="2" t="str">
        <f t="shared" si="31"/>
        <v>Y</v>
      </c>
      <c r="Q94" s="2" t="str">
        <f t="shared" si="35"/>
        <v>Y</v>
      </c>
      <c r="R94" s="2" t="str">
        <f t="shared" si="36"/>
        <v>Y</v>
      </c>
      <c r="S94" s="2" t="str">
        <f t="shared" si="37"/>
        <v>N</v>
      </c>
      <c r="T94" s="2" t="b">
        <f t="shared" ref="T94:T115" si="44">ISBLANK(O94)</f>
        <v>1</v>
      </c>
      <c r="U94" s="2" t="b">
        <f t="shared" si="38"/>
        <v>0</v>
      </c>
      <c r="V94" s="2" t="b">
        <f t="shared" si="29"/>
        <v>0</v>
      </c>
      <c r="W94" s="2">
        <v>3</v>
      </c>
      <c r="X94" s="2">
        <v>3</v>
      </c>
    </row>
    <row r="95" spans="1:24" x14ac:dyDescent="0.25">
      <c r="A95" s="34">
        <v>44344</v>
      </c>
      <c r="B95" s="4"/>
      <c r="C95" s="5" t="str">
        <f t="shared" si="41"/>
        <v/>
      </c>
      <c r="D95" s="4"/>
      <c r="E95" s="4">
        <f t="shared" si="39"/>
        <v>80</v>
      </c>
      <c r="F95" s="34" t="str">
        <f t="shared" si="40"/>
        <v xml:space="preserve"> </v>
      </c>
      <c r="G95" s="4" t="str">
        <f t="shared" si="30"/>
        <v/>
      </c>
      <c r="H95" s="5" t="str">
        <f t="shared" si="42"/>
        <v/>
      </c>
      <c r="I95" s="4"/>
      <c r="J95" s="2"/>
      <c r="K95" s="24">
        <f t="shared" si="32"/>
        <v>172</v>
      </c>
      <c r="L95" s="24">
        <f t="shared" si="33"/>
        <v>241.36425592479156</v>
      </c>
      <c r="M95" s="24">
        <f t="shared" si="34"/>
        <v>102.63574407520844</v>
      </c>
      <c r="N95" s="2"/>
      <c r="O95" s="34"/>
      <c r="P95" s="2" t="str">
        <f t="shared" si="31"/>
        <v>Y</v>
      </c>
      <c r="Q95" s="2" t="str">
        <f t="shared" si="35"/>
        <v>Y</v>
      </c>
      <c r="R95" s="2" t="str">
        <f t="shared" si="36"/>
        <v>Y</v>
      </c>
      <c r="S95" s="2" t="str">
        <f t="shared" si="37"/>
        <v>N</v>
      </c>
      <c r="T95" s="2" t="b">
        <f t="shared" si="44"/>
        <v>1</v>
      </c>
      <c r="U95" s="2" t="b">
        <f t="shared" si="38"/>
        <v>0</v>
      </c>
      <c r="V95" s="2" t="b">
        <f t="shared" si="29"/>
        <v>0</v>
      </c>
      <c r="W95" s="2">
        <v>4</v>
      </c>
      <c r="X95" s="2">
        <v>4</v>
      </c>
    </row>
    <row r="96" spans="1:24" x14ac:dyDescent="0.25">
      <c r="A96" s="34">
        <v>44351</v>
      </c>
      <c r="B96" s="4"/>
      <c r="C96" s="5" t="str">
        <f t="shared" si="41"/>
        <v/>
      </c>
      <c r="D96" s="4"/>
      <c r="E96" s="4">
        <f t="shared" si="39"/>
        <v>80</v>
      </c>
      <c r="F96" s="34" t="str">
        <f t="shared" si="40"/>
        <v xml:space="preserve"> </v>
      </c>
      <c r="G96" s="4" t="str">
        <f t="shared" si="30"/>
        <v/>
      </c>
      <c r="H96" s="5" t="str">
        <f t="shared" si="42"/>
        <v/>
      </c>
      <c r="I96" s="4"/>
      <c r="J96" s="2"/>
      <c r="K96" s="24">
        <f t="shared" si="32"/>
        <v>174</v>
      </c>
      <c r="L96" s="24">
        <f t="shared" si="33"/>
        <v>244.22060476336924</v>
      </c>
      <c r="M96" s="24">
        <f t="shared" si="34"/>
        <v>103.77939523663076</v>
      </c>
      <c r="N96" s="2"/>
      <c r="O96" s="34"/>
      <c r="P96" s="2" t="str">
        <f t="shared" si="31"/>
        <v>Y</v>
      </c>
      <c r="Q96" s="2" t="str">
        <f t="shared" si="35"/>
        <v>Y</v>
      </c>
      <c r="R96" s="2" t="str">
        <f t="shared" si="36"/>
        <v>Y</v>
      </c>
      <c r="S96" s="2" t="str">
        <f t="shared" si="37"/>
        <v>N</v>
      </c>
      <c r="T96" s="2" t="b">
        <f t="shared" si="44"/>
        <v>1</v>
      </c>
      <c r="U96" s="2" t="b">
        <f t="shared" si="38"/>
        <v>0</v>
      </c>
      <c r="V96" s="2" t="b">
        <f t="shared" ref="V96:V115" si="45">ISNUMBER(O96)</f>
        <v>0</v>
      </c>
      <c r="W96" s="2">
        <v>5</v>
      </c>
      <c r="X96" s="2">
        <v>5</v>
      </c>
    </row>
    <row r="97" spans="1:24" x14ac:dyDescent="0.25">
      <c r="A97" s="34">
        <v>44358</v>
      </c>
      <c r="B97" s="4"/>
      <c r="C97" s="5" t="str">
        <f t="shared" si="41"/>
        <v/>
      </c>
      <c r="D97" s="4"/>
      <c r="E97" s="4">
        <f t="shared" si="39"/>
        <v>80</v>
      </c>
      <c r="F97" s="34" t="str">
        <f t="shared" si="40"/>
        <v xml:space="preserve"> </v>
      </c>
      <c r="G97" s="4" t="str">
        <f t="shared" si="30"/>
        <v/>
      </c>
      <c r="H97" s="5" t="str">
        <f t="shared" si="42"/>
        <v/>
      </c>
      <c r="I97" s="4"/>
      <c r="J97" s="2"/>
      <c r="K97" s="24">
        <f t="shared" si="32"/>
        <v>176</v>
      </c>
      <c r="L97" s="24">
        <f t="shared" si="33"/>
        <v>247.07695360194691</v>
      </c>
      <c r="M97" s="24">
        <f t="shared" si="34"/>
        <v>104.92304639805309</v>
      </c>
      <c r="N97" s="2"/>
      <c r="O97" s="34"/>
      <c r="P97" s="2" t="str">
        <f t="shared" si="31"/>
        <v>Y</v>
      </c>
      <c r="Q97" s="2" t="str">
        <f t="shared" si="35"/>
        <v>Y</v>
      </c>
      <c r="R97" s="2" t="str">
        <f t="shared" si="36"/>
        <v>Y</v>
      </c>
      <c r="S97" s="2" t="str">
        <f t="shared" si="37"/>
        <v>N</v>
      </c>
      <c r="T97" s="2" t="b">
        <f t="shared" si="44"/>
        <v>1</v>
      </c>
      <c r="U97" s="2" t="b">
        <f t="shared" si="38"/>
        <v>0</v>
      </c>
      <c r="V97" s="2" t="b">
        <f t="shared" si="45"/>
        <v>0</v>
      </c>
      <c r="W97" s="2">
        <v>6</v>
      </c>
      <c r="X97" s="2">
        <v>6</v>
      </c>
    </row>
    <row r="98" spans="1:24" x14ac:dyDescent="0.25">
      <c r="A98" s="34">
        <v>44365</v>
      </c>
      <c r="B98" s="4"/>
      <c r="C98" s="5" t="str">
        <f t="shared" si="41"/>
        <v/>
      </c>
      <c r="D98" s="4"/>
      <c r="E98" s="4">
        <f t="shared" si="39"/>
        <v>80</v>
      </c>
      <c r="F98" s="34" t="str">
        <f t="shared" si="40"/>
        <v xml:space="preserve"> </v>
      </c>
      <c r="G98" s="4" t="str">
        <f t="shared" si="30"/>
        <v/>
      </c>
      <c r="H98" s="5" t="str">
        <f t="shared" si="42"/>
        <v/>
      </c>
      <c r="I98" s="4"/>
      <c r="J98" s="2"/>
      <c r="K98" s="24">
        <f t="shared" si="32"/>
        <v>178</v>
      </c>
      <c r="L98" s="24">
        <f t="shared" si="33"/>
        <v>249.93330244052459</v>
      </c>
      <c r="M98" s="24">
        <f t="shared" si="34"/>
        <v>106.06669755947541</v>
      </c>
      <c r="N98" s="2"/>
      <c r="O98" s="34"/>
      <c r="P98" s="2" t="str">
        <f t="shared" si="31"/>
        <v>Y</v>
      </c>
      <c r="Q98" s="2" t="str">
        <f t="shared" si="35"/>
        <v>Y</v>
      </c>
      <c r="R98" s="2" t="str">
        <f t="shared" si="36"/>
        <v>Y</v>
      </c>
      <c r="S98" s="2" t="str">
        <f t="shared" si="37"/>
        <v>N</v>
      </c>
      <c r="T98" s="2" t="b">
        <f t="shared" si="44"/>
        <v>1</v>
      </c>
      <c r="U98" s="2" t="b">
        <f t="shared" si="38"/>
        <v>0</v>
      </c>
      <c r="V98" s="2" t="b">
        <f t="shared" si="45"/>
        <v>0</v>
      </c>
      <c r="W98" s="2">
        <v>7</v>
      </c>
      <c r="X98" s="2">
        <v>7</v>
      </c>
    </row>
    <row r="99" spans="1:24" x14ac:dyDescent="0.25">
      <c r="A99" s="34">
        <v>44372</v>
      </c>
      <c r="B99" s="4"/>
      <c r="C99" s="5" t="str">
        <f t="shared" si="41"/>
        <v/>
      </c>
      <c r="D99" s="4"/>
      <c r="E99" s="4">
        <f t="shared" si="39"/>
        <v>80</v>
      </c>
      <c r="F99" s="34" t="str">
        <f t="shared" si="40"/>
        <v xml:space="preserve"> </v>
      </c>
      <c r="G99" s="4" t="str">
        <f t="shared" si="30"/>
        <v/>
      </c>
      <c r="H99" s="5" t="str">
        <f t="shared" si="42"/>
        <v/>
      </c>
      <c r="I99" s="4"/>
      <c r="J99" s="2"/>
      <c r="K99" s="24">
        <f t="shared" si="32"/>
        <v>180</v>
      </c>
      <c r="L99" s="24">
        <f t="shared" si="33"/>
        <v>252.78965127910226</v>
      </c>
      <c r="M99" s="24">
        <f t="shared" si="34"/>
        <v>107.21034872089774</v>
      </c>
      <c r="N99" s="2"/>
      <c r="O99" s="34"/>
      <c r="P99" s="2" t="str">
        <f t="shared" si="31"/>
        <v>Y</v>
      </c>
      <c r="Q99" s="2" t="str">
        <f t="shared" si="35"/>
        <v>Y</v>
      </c>
      <c r="R99" s="2" t="str">
        <f t="shared" si="36"/>
        <v>Y</v>
      </c>
      <c r="S99" s="2" t="str">
        <f t="shared" si="37"/>
        <v>N</v>
      </c>
      <c r="T99" s="2" t="b">
        <f t="shared" si="44"/>
        <v>1</v>
      </c>
      <c r="U99" s="2" t="b">
        <f t="shared" si="38"/>
        <v>0</v>
      </c>
      <c r="V99" s="2" t="b">
        <f t="shared" si="45"/>
        <v>0</v>
      </c>
      <c r="W99" s="2">
        <v>8</v>
      </c>
      <c r="X99" s="2">
        <v>8</v>
      </c>
    </row>
    <row r="100" spans="1:24" x14ac:dyDescent="0.25">
      <c r="A100" s="34">
        <v>44379</v>
      </c>
      <c r="B100" s="4"/>
      <c r="C100" s="5" t="str">
        <f t="shared" si="41"/>
        <v/>
      </c>
      <c r="D100" s="4"/>
      <c r="E100" s="4">
        <f t="shared" si="39"/>
        <v>80</v>
      </c>
      <c r="F100" s="34" t="str">
        <f t="shared" si="40"/>
        <v xml:space="preserve"> </v>
      </c>
      <c r="G100" s="4" t="str">
        <f t="shared" si="30"/>
        <v/>
      </c>
      <c r="H100" s="5" t="str">
        <f t="shared" si="42"/>
        <v/>
      </c>
      <c r="I100" s="4"/>
      <c r="J100" s="2"/>
      <c r="K100" s="24">
        <f t="shared" si="32"/>
        <v>182</v>
      </c>
      <c r="L100" s="24">
        <f t="shared" si="33"/>
        <v>255.64600011767993</v>
      </c>
      <c r="M100" s="24">
        <f t="shared" si="34"/>
        <v>108.35399988232007</v>
      </c>
      <c r="N100" s="2"/>
      <c r="O100" s="34"/>
      <c r="P100" s="2" t="str">
        <f t="shared" si="31"/>
        <v>Y</v>
      </c>
      <c r="Q100" s="2" t="str">
        <f t="shared" si="35"/>
        <v>Y</v>
      </c>
      <c r="R100" s="2" t="str">
        <f t="shared" si="36"/>
        <v>Y</v>
      </c>
      <c r="S100" s="2" t="str">
        <f t="shared" si="37"/>
        <v>N</v>
      </c>
      <c r="T100" s="2" t="b">
        <f t="shared" si="44"/>
        <v>1</v>
      </c>
      <c r="U100" s="2" t="b">
        <f t="shared" si="38"/>
        <v>0</v>
      </c>
      <c r="V100" s="2" t="b">
        <f t="shared" si="45"/>
        <v>0</v>
      </c>
      <c r="W100" s="2">
        <v>9</v>
      </c>
      <c r="X100" s="2">
        <v>9</v>
      </c>
    </row>
    <row r="101" spans="1:24" x14ac:dyDescent="0.25">
      <c r="A101" s="34">
        <v>44386</v>
      </c>
      <c r="B101" s="4"/>
      <c r="C101" s="5" t="str">
        <f t="shared" si="41"/>
        <v/>
      </c>
      <c r="D101" s="4"/>
      <c r="E101" s="4">
        <f t="shared" si="39"/>
        <v>80</v>
      </c>
      <c r="F101" s="34" t="str">
        <f t="shared" si="40"/>
        <v xml:space="preserve"> </v>
      </c>
      <c r="G101" s="4" t="str">
        <f t="shared" si="30"/>
        <v/>
      </c>
      <c r="H101" s="5" t="str">
        <f t="shared" si="42"/>
        <v/>
      </c>
      <c r="I101" s="4"/>
      <c r="J101" s="2"/>
      <c r="K101" s="24">
        <f t="shared" si="32"/>
        <v>184</v>
      </c>
      <c r="L101" s="24">
        <f t="shared" si="33"/>
        <v>258.50234895625761</v>
      </c>
      <c r="M101" s="24">
        <f t="shared" si="34"/>
        <v>109.49765104374239</v>
      </c>
      <c r="N101" s="2"/>
      <c r="O101" s="34"/>
      <c r="P101" s="2" t="str">
        <f t="shared" si="31"/>
        <v>Y</v>
      </c>
      <c r="Q101" s="2" t="str">
        <f t="shared" si="35"/>
        <v>Y</v>
      </c>
      <c r="R101" s="2" t="str">
        <f t="shared" si="36"/>
        <v>Y</v>
      </c>
      <c r="S101" s="2" t="str">
        <f t="shared" si="37"/>
        <v>N</v>
      </c>
      <c r="T101" s="2" t="b">
        <f t="shared" si="44"/>
        <v>1</v>
      </c>
      <c r="U101" s="2" t="b">
        <f t="shared" si="38"/>
        <v>0</v>
      </c>
      <c r="V101" s="2" t="b">
        <f t="shared" si="45"/>
        <v>0</v>
      </c>
      <c r="W101" s="2">
        <v>10</v>
      </c>
      <c r="X101" s="2">
        <v>10</v>
      </c>
    </row>
    <row r="102" spans="1:24" x14ac:dyDescent="0.25">
      <c r="A102" s="34">
        <v>44393</v>
      </c>
      <c r="B102" s="4"/>
      <c r="C102" s="5" t="str">
        <f t="shared" si="41"/>
        <v/>
      </c>
      <c r="D102" s="4"/>
      <c r="E102" s="4">
        <f t="shared" si="39"/>
        <v>80</v>
      </c>
      <c r="F102" s="34" t="str">
        <f t="shared" si="40"/>
        <v xml:space="preserve"> </v>
      </c>
      <c r="G102" s="4" t="str">
        <f t="shared" si="30"/>
        <v/>
      </c>
      <c r="H102" s="5" t="str">
        <f t="shared" si="42"/>
        <v/>
      </c>
      <c r="I102" s="4"/>
      <c r="J102" s="2"/>
      <c r="K102" s="24">
        <f t="shared" si="32"/>
        <v>186</v>
      </c>
      <c r="L102" s="24">
        <f t="shared" si="33"/>
        <v>261.35869779483528</v>
      </c>
      <c r="M102" s="24">
        <f t="shared" si="34"/>
        <v>110.64130220516472</v>
      </c>
      <c r="N102" s="2"/>
      <c r="O102" s="34"/>
      <c r="P102" s="2" t="str">
        <f t="shared" si="31"/>
        <v>Y</v>
      </c>
      <c r="Q102" s="2" t="str">
        <f t="shared" si="35"/>
        <v>Y</v>
      </c>
      <c r="R102" s="2" t="str">
        <f t="shared" si="36"/>
        <v>Y</v>
      </c>
      <c r="S102" s="2" t="str">
        <f t="shared" si="37"/>
        <v>N</v>
      </c>
      <c r="T102" s="2" t="b">
        <f t="shared" si="44"/>
        <v>1</v>
      </c>
      <c r="U102" s="2" t="b">
        <f t="shared" si="38"/>
        <v>0</v>
      </c>
      <c r="V102" s="2" t="b">
        <f t="shared" si="45"/>
        <v>0</v>
      </c>
      <c r="W102" s="2">
        <v>11</v>
      </c>
      <c r="X102" s="2">
        <v>20</v>
      </c>
    </row>
    <row r="103" spans="1:24" x14ac:dyDescent="0.25">
      <c r="A103" s="34">
        <v>44400</v>
      </c>
      <c r="B103" s="4"/>
      <c r="C103" s="5" t="str">
        <f t="shared" si="41"/>
        <v/>
      </c>
      <c r="D103" s="4"/>
      <c r="E103" s="4">
        <f t="shared" si="39"/>
        <v>80</v>
      </c>
      <c r="F103" s="34" t="str">
        <f t="shared" si="40"/>
        <v xml:space="preserve"> </v>
      </c>
      <c r="G103" s="4" t="str">
        <f t="shared" si="30"/>
        <v/>
      </c>
      <c r="H103" s="5" t="str">
        <f t="shared" si="42"/>
        <v/>
      </c>
      <c r="I103" s="4"/>
      <c r="J103" s="2"/>
      <c r="K103" s="24">
        <f t="shared" si="32"/>
        <v>188</v>
      </c>
      <c r="L103" s="24">
        <f t="shared" si="33"/>
        <v>264.21504663341295</v>
      </c>
      <c r="M103" s="24">
        <f t="shared" si="34"/>
        <v>111.78495336658705</v>
      </c>
      <c r="N103" s="2"/>
      <c r="O103" s="34"/>
      <c r="P103" s="2" t="str">
        <f t="shared" si="31"/>
        <v>Y</v>
      </c>
      <c r="Q103" s="2" t="str">
        <f t="shared" si="35"/>
        <v>Y</v>
      </c>
      <c r="R103" s="2" t="str">
        <f t="shared" si="36"/>
        <v>Y</v>
      </c>
      <c r="S103" s="2" t="str">
        <f t="shared" si="37"/>
        <v>N</v>
      </c>
      <c r="T103" s="2" t="b">
        <f t="shared" si="44"/>
        <v>1</v>
      </c>
      <c r="U103" s="2" t="b">
        <f t="shared" si="38"/>
        <v>0</v>
      </c>
      <c r="V103" s="2" t="b">
        <f t="shared" si="45"/>
        <v>0</v>
      </c>
      <c r="W103" s="2">
        <v>12</v>
      </c>
      <c r="X103" s="2">
        <v>30</v>
      </c>
    </row>
    <row r="104" spans="1:24" x14ac:dyDescent="0.25">
      <c r="A104" s="34">
        <v>44407</v>
      </c>
      <c r="B104" s="4"/>
      <c r="C104" s="5" t="str">
        <f t="shared" si="41"/>
        <v/>
      </c>
      <c r="D104" s="4"/>
      <c r="E104" s="4">
        <f t="shared" si="39"/>
        <v>80</v>
      </c>
      <c r="F104" s="34" t="str">
        <f t="shared" si="40"/>
        <v xml:space="preserve"> </v>
      </c>
      <c r="G104" s="4" t="str">
        <f t="shared" si="30"/>
        <v/>
      </c>
      <c r="H104" s="5" t="str">
        <f t="shared" si="42"/>
        <v/>
      </c>
      <c r="I104" s="4"/>
      <c r="J104" s="2"/>
      <c r="K104" s="24">
        <f t="shared" si="32"/>
        <v>190</v>
      </c>
      <c r="L104" s="24">
        <f t="shared" si="33"/>
        <v>267.07139547199063</v>
      </c>
      <c r="M104" s="24">
        <f t="shared" si="34"/>
        <v>112.92860452800937</v>
      </c>
      <c r="N104" s="2"/>
      <c r="O104" s="34"/>
      <c r="P104" s="2" t="str">
        <f t="shared" si="31"/>
        <v>Y</v>
      </c>
      <c r="Q104" s="2" t="str">
        <f t="shared" si="35"/>
        <v>Y</v>
      </c>
      <c r="R104" s="2" t="str">
        <f t="shared" si="36"/>
        <v>Y</v>
      </c>
      <c r="S104" s="2" t="str">
        <f t="shared" si="37"/>
        <v>N</v>
      </c>
      <c r="T104" s="2" t="b">
        <f t="shared" si="44"/>
        <v>1</v>
      </c>
      <c r="U104" s="2" t="b">
        <f t="shared" si="38"/>
        <v>0</v>
      </c>
      <c r="V104" s="2" t="b">
        <f t="shared" si="45"/>
        <v>0</v>
      </c>
      <c r="W104" s="2">
        <v>13</v>
      </c>
      <c r="X104" s="2">
        <v>45</v>
      </c>
    </row>
    <row r="105" spans="1:24" x14ac:dyDescent="0.25">
      <c r="A105" s="34">
        <v>44414</v>
      </c>
      <c r="B105" s="4"/>
      <c r="C105" s="5" t="str">
        <f t="shared" si="41"/>
        <v/>
      </c>
      <c r="D105" s="4"/>
      <c r="E105" s="4">
        <f t="shared" si="39"/>
        <v>80</v>
      </c>
      <c r="F105" s="34" t="str">
        <f t="shared" si="40"/>
        <v xml:space="preserve"> </v>
      </c>
      <c r="G105" s="4" t="str">
        <f t="shared" si="30"/>
        <v/>
      </c>
      <c r="H105" s="5" t="str">
        <f t="shared" si="42"/>
        <v/>
      </c>
      <c r="I105" s="4"/>
      <c r="J105" s="2"/>
      <c r="K105" s="24">
        <f t="shared" si="32"/>
        <v>192</v>
      </c>
      <c r="L105" s="24">
        <f t="shared" si="33"/>
        <v>269.9277443105683</v>
      </c>
      <c r="M105" s="24">
        <f t="shared" si="34"/>
        <v>114.0722556894317</v>
      </c>
      <c r="N105" s="2"/>
      <c r="O105" s="34"/>
      <c r="P105" s="2" t="str">
        <f t="shared" si="31"/>
        <v>Y</v>
      </c>
      <c r="Q105" s="2" t="str">
        <f t="shared" si="35"/>
        <v>Y</v>
      </c>
      <c r="R105" s="2" t="str">
        <f t="shared" si="36"/>
        <v>Y</v>
      </c>
      <c r="S105" s="2" t="str">
        <f t="shared" si="37"/>
        <v>N</v>
      </c>
      <c r="T105" s="2" t="b">
        <f t="shared" si="44"/>
        <v>1</v>
      </c>
      <c r="U105" s="2" t="b">
        <f t="shared" si="38"/>
        <v>0</v>
      </c>
      <c r="V105" s="2" t="b">
        <f t="shared" si="45"/>
        <v>0</v>
      </c>
      <c r="W105" s="2">
        <v>14</v>
      </c>
      <c r="X105" s="2">
        <v>60</v>
      </c>
    </row>
    <row r="106" spans="1:24" x14ac:dyDescent="0.25">
      <c r="A106" s="34">
        <v>44421</v>
      </c>
      <c r="B106" s="4"/>
      <c r="C106" s="5" t="str">
        <f t="shared" si="41"/>
        <v/>
      </c>
      <c r="D106" s="4"/>
      <c r="E106" s="4">
        <f t="shared" si="39"/>
        <v>80</v>
      </c>
      <c r="F106" s="34" t="str">
        <f t="shared" si="40"/>
        <v xml:space="preserve"> </v>
      </c>
      <c r="G106" s="4" t="str">
        <f t="shared" si="30"/>
        <v/>
      </c>
      <c r="H106" s="5" t="str">
        <f t="shared" si="42"/>
        <v/>
      </c>
      <c r="I106" s="4"/>
      <c r="J106" s="2"/>
      <c r="K106" s="24">
        <f t="shared" si="32"/>
        <v>194</v>
      </c>
      <c r="L106" s="24">
        <f t="shared" si="33"/>
        <v>272.78409314914597</v>
      </c>
      <c r="M106" s="24">
        <f t="shared" si="34"/>
        <v>115.21590685085403</v>
      </c>
      <c r="N106" s="2"/>
      <c r="O106" s="34"/>
      <c r="P106" s="2" t="str">
        <f t="shared" si="31"/>
        <v>Y</v>
      </c>
      <c r="Q106" s="2" t="str">
        <f t="shared" si="35"/>
        <v>Y</v>
      </c>
      <c r="R106" s="2" t="str">
        <f t="shared" si="36"/>
        <v>Y</v>
      </c>
      <c r="S106" s="2" t="str">
        <f t="shared" si="37"/>
        <v>N</v>
      </c>
      <c r="T106" s="2" t="b">
        <f t="shared" si="44"/>
        <v>1</v>
      </c>
      <c r="U106" s="2" t="b">
        <f t="shared" si="38"/>
        <v>0</v>
      </c>
      <c r="V106" s="2" t="b">
        <f t="shared" si="45"/>
        <v>0</v>
      </c>
      <c r="W106" s="2">
        <v>15</v>
      </c>
      <c r="X106" s="2">
        <v>120</v>
      </c>
    </row>
    <row r="107" spans="1:24" x14ac:dyDescent="0.25">
      <c r="A107" s="34">
        <v>44428</v>
      </c>
      <c r="B107" s="4"/>
      <c r="C107" s="5" t="str">
        <f t="shared" si="41"/>
        <v/>
      </c>
      <c r="D107" s="4"/>
      <c r="E107" s="4">
        <f t="shared" si="39"/>
        <v>80</v>
      </c>
      <c r="F107" s="34" t="str">
        <f t="shared" si="40"/>
        <v xml:space="preserve"> </v>
      </c>
      <c r="G107" s="4" t="str">
        <f t="shared" si="30"/>
        <v/>
      </c>
      <c r="H107" s="5" t="str">
        <f t="shared" si="42"/>
        <v/>
      </c>
      <c r="I107" s="4"/>
      <c r="J107" s="2"/>
      <c r="K107" s="24">
        <f t="shared" si="32"/>
        <v>196</v>
      </c>
      <c r="L107" s="24">
        <f t="shared" si="33"/>
        <v>275.64044198772365</v>
      </c>
      <c r="M107" s="24">
        <f t="shared" si="34"/>
        <v>116.35955801227635</v>
      </c>
      <c r="N107" s="2"/>
      <c r="O107" s="34"/>
      <c r="P107" s="2" t="str">
        <f t="shared" si="31"/>
        <v>Y</v>
      </c>
      <c r="Q107" s="2" t="str">
        <f t="shared" si="35"/>
        <v>Y</v>
      </c>
      <c r="R107" s="2" t="str">
        <f t="shared" si="36"/>
        <v>Y</v>
      </c>
      <c r="S107" s="2" t="str">
        <f t="shared" si="37"/>
        <v>N</v>
      </c>
      <c r="T107" s="2" t="b">
        <f t="shared" si="44"/>
        <v>1</v>
      </c>
      <c r="U107" s="2" t="b">
        <f t="shared" si="38"/>
        <v>0</v>
      </c>
      <c r="V107" s="2" t="b">
        <f t="shared" si="45"/>
        <v>0</v>
      </c>
      <c r="W107" s="2"/>
      <c r="X107" s="2"/>
    </row>
    <row r="108" spans="1:24" x14ac:dyDescent="0.25">
      <c r="A108" s="34">
        <v>44435</v>
      </c>
      <c r="B108" s="4"/>
      <c r="C108" s="5" t="str">
        <f t="shared" si="41"/>
        <v/>
      </c>
      <c r="D108" s="4"/>
      <c r="E108" s="4">
        <f t="shared" si="39"/>
        <v>80</v>
      </c>
      <c r="F108" s="34" t="str">
        <f t="shared" si="40"/>
        <v xml:space="preserve"> </v>
      </c>
      <c r="G108" s="4" t="str">
        <f t="shared" si="30"/>
        <v/>
      </c>
      <c r="H108" s="5" t="str">
        <f t="shared" si="42"/>
        <v/>
      </c>
      <c r="I108" s="4"/>
      <c r="J108" s="2"/>
      <c r="K108" s="24">
        <f t="shared" si="32"/>
        <v>198</v>
      </c>
      <c r="L108" s="24">
        <f t="shared" si="33"/>
        <v>278.49679082630132</v>
      </c>
      <c r="M108" s="24">
        <f t="shared" si="34"/>
        <v>117.50320917369868</v>
      </c>
      <c r="N108" s="2"/>
      <c r="O108" s="34"/>
      <c r="P108" s="2" t="str">
        <f t="shared" si="31"/>
        <v>Y</v>
      </c>
      <c r="Q108" s="2" t="str">
        <f t="shared" si="35"/>
        <v>Y</v>
      </c>
      <c r="R108" s="2" t="str">
        <f t="shared" si="36"/>
        <v>Y</v>
      </c>
      <c r="S108" s="2" t="str">
        <f t="shared" si="37"/>
        <v>N</v>
      </c>
      <c r="T108" s="2" t="b">
        <f t="shared" si="44"/>
        <v>1</v>
      </c>
      <c r="U108" s="2" t="b">
        <f t="shared" si="38"/>
        <v>0</v>
      </c>
      <c r="V108" s="2" t="b">
        <f t="shared" si="45"/>
        <v>0</v>
      </c>
      <c r="W108" s="2"/>
      <c r="X108" s="2"/>
    </row>
    <row r="109" spans="1:24" x14ac:dyDescent="0.25">
      <c r="A109" s="34">
        <v>44442</v>
      </c>
      <c r="B109" s="4"/>
      <c r="C109" s="5" t="str">
        <f t="shared" si="41"/>
        <v/>
      </c>
      <c r="D109" s="4"/>
      <c r="E109" s="4">
        <f t="shared" si="39"/>
        <v>80</v>
      </c>
      <c r="F109" s="34" t="str">
        <f t="shared" si="40"/>
        <v xml:space="preserve"> </v>
      </c>
      <c r="G109" s="4" t="str">
        <f t="shared" si="30"/>
        <v/>
      </c>
      <c r="H109" s="5" t="str">
        <f t="shared" si="42"/>
        <v/>
      </c>
      <c r="I109" s="4"/>
      <c r="J109" s="2"/>
      <c r="K109" s="24">
        <f t="shared" si="32"/>
        <v>200</v>
      </c>
      <c r="L109" s="24">
        <f t="shared" si="33"/>
        <v>281.353139664879</v>
      </c>
      <c r="M109" s="24">
        <f t="shared" si="34"/>
        <v>118.646860335121</v>
      </c>
      <c r="N109" s="2"/>
      <c r="O109" s="34"/>
      <c r="P109" s="2" t="str">
        <f t="shared" si="31"/>
        <v>Y</v>
      </c>
      <c r="Q109" s="2" t="str">
        <f t="shared" si="35"/>
        <v>Y</v>
      </c>
      <c r="R109" s="2" t="str">
        <f t="shared" si="36"/>
        <v>Y</v>
      </c>
      <c r="S109" s="2" t="str">
        <f t="shared" si="37"/>
        <v>N</v>
      </c>
      <c r="T109" s="2" t="b">
        <f t="shared" si="44"/>
        <v>1</v>
      </c>
      <c r="U109" s="2" t="b">
        <f t="shared" si="38"/>
        <v>0</v>
      </c>
      <c r="V109" s="2" t="b">
        <f t="shared" si="45"/>
        <v>0</v>
      </c>
      <c r="W109" s="2"/>
      <c r="X109" s="2"/>
    </row>
    <row r="110" spans="1:24" x14ac:dyDescent="0.25">
      <c r="A110" s="34">
        <v>44449</v>
      </c>
      <c r="B110" s="4"/>
      <c r="C110" s="5" t="str">
        <f t="shared" si="41"/>
        <v/>
      </c>
      <c r="D110" s="4"/>
      <c r="E110" s="4">
        <f t="shared" si="39"/>
        <v>80</v>
      </c>
      <c r="F110" s="34" t="str">
        <f t="shared" si="40"/>
        <v xml:space="preserve"> </v>
      </c>
      <c r="G110" s="4" t="str">
        <f t="shared" si="30"/>
        <v/>
      </c>
      <c r="H110" s="5" t="str">
        <f t="shared" si="42"/>
        <v/>
      </c>
      <c r="I110" s="4"/>
      <c r="J110" s="2"/>
      <c r="K110" s="24">
        <f t="shared" si="32"/>
        <v>202</v>
      </c>
      <c r="L110" s="24">
        <f t="shared" si="33"/>
        <v>284.20948850345667</v>
      </c>
      <c r="M110" s="24">
        <f t="shared" si="34"/>
        <v>119.79051149654333</v>
      </c>
      <c r="N110" s="2"/>
      <c r="O110" s="34"/>
      <c r="P110" s="2" t="str">
        <f t="shared" si="31"/>
        <v>Y</v>
      </c>
      <c r="Q110" s="2" t="str">
        <f t="shared" si="35"/>
        <v>Y</v>
      </c>
      <c r="R110" s="2" t="str">
        <f t="shared" si="36"/>
        <v>Y</v>
      </c>
      <c r="S110" s="2" t="str">
        <f t="shared" si="37"/>
        <v>N</v>
      </c>
      <c r="T110" s="2" t="b">
        <f t="shared" si="44"/>
        <v>1</v>
      </c>
      <c r="U110" s="2" t="b">
        <f t="shared" si="38"/>
        <v>0</v>
      </c>
      <c r="V110" s="2" t="b">
        <f t="shared" si="45"/>
        <v>0</v>
      </c>
      <c r="W110" s="2"/>
      <c r="X110" s="2"/>
    </row>
    <row r="111" spans="1:24" x14ac:dyDescent="0.25">
      <c r="A111" s="34">
        <v>44456</v>
      </c>
      <c r="B111" s="4"/>
      <c r="C111" s="5" t="str">
        <f t="shared" si="41"/>
        <v/>
      </c>
      <c r="D111" s="4"/>
      <c r="E111" s="4">
        <f t="shared" si="39"/>
        <v>80</v>
      </c>
      <c r="F111" s="34" t="str">
        <f t="shared" si="40"/>
        <v xml:space="preserve"> </v>
      </c>
      <c r="G111" s="4" t="str">
        <f t="shared" si="30"/>
        <v/>
      </c>
      <c r="H111" s="5" t="str">
        <f t="shared" si="42"/>
        <v/>
      </c>
      <c r="I111" s="4"/>
      <c r="J111" s="2"/>
      <c r="K111" s="24">
        <f t="shared" si="32"/>
        <v>204</v>
      </c>
      <c r="L111" s="24">
        <f t="shared" si="33"/>
        <v>287.06583734203434</v>
      </c>
      <c r="M111" s="24">
        <f t="shared" si="34"/>
        <v>120.93416265796566</v>
      </c>
      <c r="N111" s="2"/>
      <c r="O111" s="34"/>
      <c r="P111" s="2" t="str">
        <f t="shared" si="31"/>
        <v>Y</v>
      </c>
      <c r="Q111" s="2" t="str">
        <f t="shared" si="35"/>
        <v>Y</v>
      </c>
      <c r="R111" s="2" t="str">
        <f t="shared" si="36"/>
        <v>Y</v>
      </c>
      <c r="S111" s="2" t="str">
        <f t="shared" si="37"/>
        <v>N</v>
      </c>
      <c r="T111" s="2" t="b">
        <f t="shared" si="44"/>
        <v>1</v>
      </c>
      <c r="U111" s="2" t="b">
        <f t="shared" si="38"/>
        <v>0</v>
      </c>
      <c r="V111" s="2" t="b">
        <f t="shared" si="45"/>
        <v>0</v>
      </c>
      <c r="W111" s="2"/>
      <c r="X111" s="2"/>
    </row>
    <row r="112" spans="1:24" x14ac:dyDescent="0.25">
      <c r="A112" s="34">
        <v>44463</v>
      </c>
      <c r="B112" s="4"/>
      <c r="C112" s="5" t="str">
        <f t="shared" si="41"/>
        <v/>
      </c>
      <c r="D112" s="4"/>
      <c r="E112" s="4">
        <f t="shared" si="39"/>
        <v>80</v>
      </c>
      <c r="F112" s="34" t="str">
        <f t="shared" si="40"/>
        <v xml:space="preserve"> </v>
      </c>
      <c r="G112" s="4" t="str">
        <f t="shared" si="30"/>
        <v/>
      </c>
      <c r="H112" s="5" t="str">
        <f t="shared" si="42"/>
        <v/>
      </c>
      <c r="I112" s="4"/>
      <c r="J112" s="2"/>
      <c r="K112" s="24">
        <f t="shared" si="32"/>
        <v>206</v>
      </c>
      <c r="L112" s="24">
        <f t="shared" si="33"/>
        <v>289.92218618061202</v>
      </c>
      <c r="M112" s="24">
        <f t="shared" si="34"/>
        <v>122.07781381938798</v>
      </c>
      <c r="N112" s="2"/>
      <c r="O112" s="34"/>
      <c r="P112" s="2" t="str">
        <f t="shared" si="31"/>
        <v>Y</v>
      </c>
      <c r="Q112" s="2" t="str">
        <f t="shared" si="35"/>
        <v>Y</v>
      </c>
      <c r="R112" s="2" t="str">
        <f t="shared" si="36"/>
        <v>Y</v>
      </c>
      <c r="S112" s="2" t="str">
        <f t="shared" si="37"/>
        <v>N</v>
      </c>
      <c r="T112" s="2" t="b">
        <f t="shared" si="44"/>
        <v>1</v>
      </c>
      <c r="U112" s="2" t="b">
        <f t="shared" si="38"/>
        <v>0</v>
      </c>
      <c r="V112" s="2" t="b">
        <f t="shared" si="45"/>
        <v>0</v>
      </c>
      <c r="W112" s="2"/>
      <c r="X112" s="2"/>
    </row>
    <row r="113" spans="1:24" x14ac:dyDescent="0.25">
      <c r="A113" s="34">
        <v>44470</v>
      </c>
      <c r="B113" s="4"/>
      <c r="C113" s="5" t="str">
        <f t="shared" si="41"/>
        <v/>
      </c>
      <c r="D113" s="4"/>
      <c r="E113" s="4">
        <f t="shared" si="39"/>
        <v>80</v>
      </c>
      <c r="F113" s="34" t="str">
        <f t="shared" si="40"/>
        <v xml:space="preserve"> </v>
      </c>
      <c r="G113" s="4" t="str">
        <f t="shared" si="30"/>
        <v/>
      </c>
      <c r="H113" s="5" t="str">
        <f t="shared" si="42"/>
        <v/>
      </c>
      <c r="I113" s="4"/>
      <c r="J113" s="2"/>
      <c r="K113" s="24">
        <f t="shared" si="32"/>
        <v>208</v>
      </c>
      <c r="L113" s="24">
        <f t="shared" si="33"/>
        <v>292.77853501918969</v>
      </c>
      <c r="M113" s="24">
        <f t="shared" si="34"/>
        <v>123.22146498081031</v>
      </c>
      <c r="N113" s="2"/>
      <c r="O113" s="34"/>
      <c r="P113" s="2" t="str">
        <f t="shared" si="31"/>
        <v>Y</v>
      </c>
      <c r="Q113" s="2" t="str">
        <f t="shared" si="35"/>
        <v>Y</v>
      </c>
      <c r="R113" s="2" t="str">
        <f t="shared" si="36"/>
        <v>Y</v>
      </c>
      <c r="S113" s="2" t="str">
        <f t="shared" si="37"/>
        <v>N</v>
      </c>
      <c r="T113" s="2" t="b">
        <f t="shared" si="44"/>
        <v>1</v>
      </c>
      <c r="U113" s="2" t="b">
        <f t="shared" si="38"/>
        <v>0</v>
      </c>
      <c r="V113" s="2" t="b">
        <f t="shared" si="45"/>
        <v>0</v>
      </c>
      <c r="W113" s="2"/>
      <c r="X113" s="2"/>
    </row>
    <row r="114" spans="1:24" ht="14.5" x14ac:dyDescent="0.35">
      <c r="A114" s="33">
        <v>43714</v>
      </c>
      <c r="B114" s="4">
        <v>0</v>
      </c>
      <c r="C114" s="5"/>
      <c r="D114" s="4" t="str">
        <f t="shared" ref="D70:D114" si="46">IF(I114="","",B114+D113)</f>
        <v/>
      </c>
      <c r="E114" s="4">
        <f>IF(I114&lt;&gt;"",IF(D115="",D114+C111,""),B111+$C$2)</f>
        <v>0</v>
      </c>
      <c r="F114" s="34"/>
      <c r="G114" s="4" t="str">
        <f t="shared" si="30"/>
        <v/>
      </c>
      <c r="H114" s="5"/>
      <c r="I114" s="4"/>
      <c r="J114" s="2" t="str">
        <f t="shared" ref="J70:J114" si="47">(IF(I114="","",I114+J113))</f>
        <v/>
      </c>
      <c r="K114" s="24">
        <f t="shared" si="32"/>
        <v>210</v>
      </c>
      <c r="L114" s="24">
        <f t="shared" si="33"/>
        <v>295.63488385776736</v>
      </c>
      <c r="M114" s="24">
        <f t="shared" si="34"/>
        <v>124.36511614223264</v>
      </c>
      <c r="N114" s="2"/>
      <c r="O114" s="34" t="e">
        <f t="shared" ref="O69:O115" si="48">IF(F114&lt;&gt; " ",DATEVALUE(F114)," ")</f>
        <v>#VALUE!</v>
      </c>
      <c r="P114" s="2" t="str">
        <f t="shared" si="31"/>
        <v>Y</v>
      </c>
      <c r="Q114" s="2" t="str">
        <f>IF(K114&gt;E114,"Y","N")</f>
        <v>Y</v>
      </c>
      <c r="R114" s="2" t="str">
        <f>IF(M114&gt;E114,"Y","N")</f>
        <v>Y</v>
      </c>
      <c r="S114" s="2" t="str">
        <f>IF(AND(ISBLANK(I115),NOT(ISBLANK(I114))),"Y","N")</f>
        <v>N</v>
      </c>
      <c r="T114" s="2" t="b">
        <f t="shared" si="44"/>
        <v>0</v>
      </c>
      <c r="U114" s="2" t="b">
        <f>ISTEXT(O114)</f>
        <v>0</v>
      </c>
      <c r="V114" s="2" t="b">
        <f t="shared" si="45"/>
        <v>0</v>
      </c>
      <c r="W114" s="2"/>
      <c r="X114" s="2"/>
    </row>
    <row r="115" spans="1:24" x14ac:dyDescent="0.25">
      <c r="A115" s="34">
        <v>43721</v>
      </c>
      <c r="B115" s="4"/>
      <c r="C115" s="5"/>
      <c r="D115" s="4" t="str">
        <f>IF(I115="","",B115+D114)</f>
        <v/>
      </c>
      <c r="E115" s="4">
        <f>IF(I115&lt;&gt;"",IF(D116="",D115+$C$2,""),E114+$C$2)</f>
        <v>0</v>
      </c>
      <c r="F115" s="34"/>
      <c r="G115" s="4" t="str">
        <f t="shared" si="30"/>
        <v/>
      </c>
      <c r="H115" s="5"/>
      <c r="I115" s="4"/>
      <c r="J115" s="2" t="str">
        <f>(IF(I115="","",I115+J114))</f>
        <v/>
      </c>
      <c r="K115" s="24">
        <f t="shared" si="32"/>
        <v>212</v>
      </c>
      <c r="L115" s="24">
        <f t="shared" si="33"/>
        <v>298.49123269634504</v>
      </c>
      <c r="M115" s="24">
        <f t="shared" si="34"/>
        <v>125.50876730365496</v>
      </c>
      <c r="N115" s="2"/>
      <c r="O115" s="34" t="e">
        <f t="shared" si="48"/>
        <v>#VALUE!</v>
      </c>
      <c r="P115" s="2" t="str">
        <f t="shared" si="31"/>
        <v>Y</v>
      </c>
      <c r="Q115" s="2" t="str">
        <f>IF(K115&gt;E115,"Y","N")</f>
        <v>Y</v>
      </c>
      <c r="R115" s="2" t="str">
        <f>IF(M115&gt;E115,"Y","N")</f>
        <v>Y</v>
      </c>
      <c r="S115" s="2" t="str">
        <f>IF(AND(ISBLANK(I116),NOT(ISBLANK(I115))),"Y","N")</f>
        <v>N</v>
      </c>
      <c r="T115" s="2" t="b">
        <f t="shared" si="44"/>
        <v>0</v>
      </c>
      <c r="U115" s="2" t="b">
        <f>ISTEXT(O115)</f>
        <v>0</v>
      </c>
      <c r="V115" s="2" t="b">
        <f t="shared" si="45"/>
        <v>0</v>
      </c>
      <c r="W115" s="2">
        <v>1</v>
      </c>
      <c r="X115" s="1">
        <f>VLOOKUP(W115,W92:X106,2,FALSE)</f>
        <v>1</v>
      </c>
    </row>
    <row r="116" spans="1:24" x14ac:dyDescent="0.25">
      <c r="J116" s="4"/>
      <c r="T116" s="2"/>
    </row>
    <row r="117" spans="1:24" x14ac:dyDescent="0.25">
      <c r="J117" s="4"/>
      <c r="T117" s="2"/>
    </row>
    <row r="118" spans="1:24" x14ac:dyDescent="0.25">
      <c r="J118" s="4"/>
      <c r="T118" s="2"/>
    </row>
    <row r="119" spans="1:24" x14ac:dyDescent="0.25">
      <c r="J119" s="4"/>
      <c r="T119" s="2"/>
    </row>
    <row r="120" spans="1:24" x14ac:dyDescent="0.25">
      <c r="J120" s="4"/>
    </row>
    <row r="121" spans="1:24" x14ac:dyDescent="0.25">
      <c r="J121" s="4"/>
    </row>
    <row r="122" spans="1:24" x14ac:dyDescent="0.25">
      <c r="J122" s="4"/>
    </row>
    <row r="123" spans="1:24" x14ac:dyDescent="0.25">
      <c r="J123" s="4"/>
    </row>
    <row r="124" spans="1:24" x14ac:dyDescent="0.25">
      <c r="J124" s="4"/>
    </row>
    <row r="125" spans="1:24" x14ac:dyDescent="0.25">
      <c r="J125" s="4"/>
    </row>
    <row r="126" spans="1:24" x14ac:dyDescent="0.25">
      <c r="J126" s="4"/>
    </row>
    <row r="127" spans="1:24" x14ac:dyDescent="0.25">
      <c r="J127" s="4"/>
    </row>
    <row r="128" spans="1:24" x14ac:dyDescent="0.25">
      <c r="J128" s="4"/>
    </row>
    <row r="129" spans="10:10" x14ac:dyDescent="0.25">
      <c r="J129" s="4"/>
    </row>
    <row r="130" spans="10:10" x14ac:dyDescent="0.25">
      <c r="J130" s="4"/>
    </row>
    <row r="131" spans="10:10" x14ac:dyDescent="0.25">
      <c r="J131" s="4"/>
    </row>
    <row r="132" spans="10:10" x14ac:dyDescent="0.25">
      <c r="J132" s="4"/>
    </row>
    <row r="133" spans="10:10" x14ac:dyDescent="0.25">
      <c r="J133" s="4"/>
    </row>
    <row r="134" spans="10:10" x14ac:dyDescent="0.25">
      <c r="J134" s="4"/>
    </row>
    <row r="135" spans="10:10" x14ac:dyDescent="0.25">
      <c r="J135" s="4"/>
    </row>
    <row r="136" spans="10:10" x14ac:dyDescent="0.25">
      <c r="J136" s="4"/>
    </row>
    <row r="137" spans="10:10" x14ac:dyDescent="0.25">
      <c r="J137" s="4"/>
    </row>
    <row r="138" spans="10:10" x14ac:dyDescent="0.25">
      <c r="J138" s="4"/>
    </row>
    <row r="139" spans="10:10" x14ac:dyDescent="0.25">
      <c r="J139" s="4"/>
    </row>
    <row r="140" spans="10:10" x14ac:dyDescent="0.25">
      <c r="J140" s="4"/>
    </row>
    <row r="141" spans="10:10" x14ac:dyDescent="0.25">
      <c r="J141" s="4"/>
    </row>
    <row r="142" spans="10:10" x14ac:dyDescent="0.25">
      <c r="J142" s="4"/>
    </row>
    <row r="143" spans="10:10" x14ac:dyDescent="0.25">
      <c r="J143" s="4"/>
    </row>
    <row r="144" spans="10:10" x14ac:dyDescent="0.25">
      <c r="J144" s="4"/>
    </row>
    <row r="145" spans="10:10" x14ac:dyDescent="0.25">
      <c r="J145" s="4"/>
    </row>
    <row r="146" spans="10:10" x14ac:dyDescent="0.25">
      <c r="J146" s="4"/>
    </row>
    <row r="147" spans="10:10" x14ac:dyDescent="0.25">
      <c r="J147" s="4"/>
    </row>
    <row r="148" spans="10:10" x14ac:dyDescent="0.25">
      <c r="J148" s="4"/>
    </row>
    <row r="149" spans="10:10" x14ac:dyDescent="0.25">
      <c r="J149" s="4"/>
    </row>
    <row r="150" spans="10:10" x14ac:dyDescent="0.25">
      <c r="J150" s="4"/>
    </row>
    <row r="151" spans="10:10" x14ac:dyDescent="0.25">
      <c r="J151" s="4"/>
    </row>
    <row r="152" spans="10:10" x14ac:dyDescent="0.25">
      <c r="J152" s="4"/>
    </row>
    <row r="153" spans="10:10" x14ac:dyDescent="0.25">
      <c r="J153" s="4"/>
    </row>
    <row r="154" spans="10:10" x14ac:dyDescent="0.25">
      <c r="J154" s="4"/>
    </row>
    <row r="155" spans="10:10" x14ac:dyDescent="0.25">
      <c r="J155" s="4"/>
    </row>
    <row r="156" spans="10:10" x14ac:dyDescent="0.25">
      <c r="J156" s="4"/>
    </row>
    <row r="157" spans="10:10" x14ac:dyDescent="0.25">
      <c r="J157" s="4"/>
    </row>
    <row r="158" spans="10:10" x14ac:dyDescent="0.25">
      <c r="J158" s="4"/>
    </row>
    <row r="159" spans="10:10" x14ac:dyDescent="0.25">
      <c r="J159" s="4"/>
    </row>
    <row r="160" spans="10:10" x14ac:dyDescent="0.25">
      <c r="J160" s="4"/>
    </row>
    <row r="161" spans="10:10" x14ac:dyDescent="0.25">
      <c r="J161" s="4"/>
    </row>
    <row r="162" spans="10:10" x14ac:dyDescent="0.25">
      <c r="J162" s="4"/>
    </row>
    <row r="163" spans="10:10" x14ac:dyDescent="0.25">
      <c r="J163" s="4"/>
    </row>
    <row r="164" spans="10:10" x14ac:dyDescent="0.25">
      <c r="J164" s="4"/>
    </row>
    <row r="165" spans="10:10" x14ac:dyDescent="0.25">
      <c r="J165" s="4"/>
    </row>
    <row r="166" spans="10:10" x14ac:dyDescent="0.25">
      <c r="J166" s="4"/>
    </row>
    <row r="167" spans="10:10" x14ac:dyDescent="0.25">
      <c r="J167" s="4"/>
    </row>
    <row r="168" spans="10:10" x14ac:dyDescent="0.25">
      <c r="J168" s="4"/>
    </row>
    <row r="169" spans="10:10" x14ac:dyDescent="0.25">
      <c r="J169" s="4"/>
    </row>
    <row r="170" spans="10:10" x14ac:dyDescent="0.25">
      <c r="J170" s="4"/>
    </row>
    <row r="171" spans="10:10" x14ac:dyDescent="0.25">
      <c r="J171" s="4"/>
    </row>
    <row r="172" spans="10:10" x14ac:dyDescent="0.25">
      <c r="J172" s="4"/>
    </row>
    <row r="173" spans="10:10" x14ac:dyDescent="0.25">
      <c r="J173" s="4"/>
    </row>
    <row r="174" spans="10:10" x14ac:dyDescent="0.25">
      <c r="J174" s="4"/>
    </row>
    <row r="175" spans="10:10" x14ac:dyDescent="0.25">
      <c r="J175" s="4"/>
    </row>
    <row r="176" spans="10:10" x14ac:dyDescent="0.25">
      <c r="J176" s="4"/>
    </row>
    <row r="177" spans="10:10" x14ac:dyDescent="0.25">
      <c r="J177" s="4"/>
    </row>
    <row r="178" spans="10:10" x14ac:dyDescent="0.25">
      <c r="J178" s="4"/>
    </row>
    <row r="179" spans="10:10" x14ac:dyDescent="0.25">
      <c r="J179" s="4"/>
    </row>
    <row r="180" spans="10:10" x14ac:dyDescent="0.25">
      <c r="J180" s="4"/>
    </row>
    <row r="181" spans="10:10" x14ac:dyDescent="0.25">
      <c r="J181" s="4"/>
    </row>
    <row r="182" spans="10:10" x14ac:dyDescent="0.25">
      <c r="J182" s="4"/>
    </row>
    <row r="183" spans="10:10" x14ac:dyDescent="0.25">
      <c r="J183" s="4"/>
    </row>
    <row r="184" spans="10:10" x14ac:dyDescent="0.25">
      <c r="J184" s="4"/>
    </row>
    <row r="185" spans="10:10" x14ac:dyDescent="0.25">
      <c r="J185" s="4"/>
    </row>
    <row r="186" spans="10:10" x14ac:dyDescent="0.25">
      <c r="J186" s="4"/>
    </row>
    <row r="187" spans="10:10" x14ac:dyDescent="0.25">
      <c r="J187" s="4"/>
    </row>
    <row r="188" spans="10:10" x14ac:dyDescent="0.25">
      <c r="J188" s="4"/>
    </row>
    <row r="189" spans="10:10" x14ac:dyDescent="0.25">
      <c r="J189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B3" sqref="B3"/>
    </sheetView>
  </sheetViews>
  <sheetFormatPr defaultRowHeight="12.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1"/>
  <sheetViews>
    <sheetView workbookViewId="0">
      <selection activeCell="A11" sqref="A11"/>
    </sheetView>
  </sheetViews>
  <sheetFormatPr defaultRowHeight="12.5" x14ac:dyDescent="0.25"/>
  <sheetData>
    <row r="1" spans="1:1" x14ac:dyDescent="0.25">
      <c r="A1">
        <v>0</v>
      </c>
    </row>
    <row r="2" spans="1:1" x14ac:dyDescent="0.25">
      <c r="A2">
        <v>0</v>
      </c>
    </row>
    <row r="3" spans="1:1" x14ac:dyDescent="0.25">
      <c r="A3">
        <v>0</v>
      </c>
    </row>
    <row r="4" spans="1:1" x14ac:dyDescent="0.25">
      <c r="A4">
        <v>0</v>
      </c>
    </row>
    <row r="5" spans="1:1" x14ac:dyDescent="0.25">
      <c r="A5">
        <v>0</v>
      </c>
    </row>
    <row r="6" spans="1:1" x14ac:dyDescent="0.25">
      <c r="A6">
        <v>2</v>
      </c>
    </row>
    <row r="7" spans="1:1" x14ac:dyDescent="0.25">
      <c r="A7">
        <v>2</v>
      </c>
    </row>
    <row r="8" spans="1:1" x14ac:dyDescent="0.25">
      <c r="A8">
        <v>2</v>
      </c>
    </row>
    <row r="9" spans="1:1" x14ac:dyDescent="0.25">
      <c r="A9">
        <v>2</v>
      </c>
    </row>
    <row r="10" spans="1:1" x14ac:dyDescent="0.25">
      <c r="A10">
        <v>2</v>
      </c>
    </row>
    <row r="11" spans="1:1" x14ac:dyDescent="0.25">
      <c r="A11" s="1" t="s">
        <v>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0"/>
  <sheetViews>
    <sheetView workbookViewId="0">
      <selection sqref="A1:A10"/>
    </sheetView>
  </sheetViews>
  <sheetFormatPr defaultRowHeight="12.5" x14ac:dyDescent="0.25"/>
  <sheetData>
    <row r="1" spans="1:1" x14ac:dyDescent="0.25">
      <c r="A1">
        <v>0</v>
      </c>
    </row>
    <row r="2" spans="1:1" x14ac:dyDescent="0.25">
      <c r="A2">
        <v>0</v>
      </c>
    </row>
    <row r="3" spans="1:1" x14ac:dyDescent="0.25">
      <c r="A3">
        <v>0</v>
      </c>
    </row>
    <row r="4" spans="1:1" x14ac:dyDescent="0.25">
      <c r="A4">
        <v>0</v>
      </c>
    </row>
    <row r="5" spans="1:1" x14ac:dyDescent="0.25">
      <c r="A5">
        <v>0</v>
      </c>
    </row>
    <row r="6" spans="1:1" x14ac:dyDescent="0.25">
      <c r="A6">
        <v>2</v>
      </c>
    </row>
    <row r="7" spans="1:1" x14ac:dyDescent="0.25">
      <c r="A7">
        <v>2</v>
      </c>
    </row>
    <row r="8" spans="1:1" x14ac:dyDescent="0.25">
      <c r="A8">
        <v>2</v>
      </c>
    </row>
    <row r="9" spans="1:1" x14ac:dyDescent="0.25">
      <c r="A9">
        <v>2</v>
      </c>
    </row>
    <row r="10" spans="1:1" x14ac:dyDescent="0.25">
      <c r="A10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J189"/>
  <sheetViews>
    <sheetView zoomScale="51" zoomScaleNormal="51" workbookViewId="0">
      <pane xSplit="1" ySplit="4" topLeftCell="G89" activePane="bottomRight" state="frozen"/>
      <selection pane="topRight" activeCell="B1" sqref="B1"/>
      <selection pane="bottomLeft" activeCell="A5" sqref="A5"/>
      <selection pane="bottomRight" activeCell="X115" sqref="A1:X115"/>
    </sheetView>
  </sheetViews>
  <sheetFormatPr defaultColWidth="9.1796875" defaultRowHeight="12.5" x14ac:dyDescent="0.25"/>
  <cols>
    <col min="1" max="1" width="13.1796875" style="2" bestFit="1" customWidth="1"/>
    <col min="2" max="3" width="15" style="2" bestFit="1" customWidth="1"/>
    <col min="4" max="5" width="15" style="2" customWidth="1"/>
    <col min="6" max="6" width="24.453125" style="2" bestFit="1" customWidth="1"/>
    <col min="7" max="7" width="15" style="2" bestFit="1" customWidth="1"/>
    <col min="8" max="8" width="19" style="2" customWidth="1"/>
    <col min="9" max="9" width="13.54296875" style="2" customWidth="1"/>
    <col min="10" max="10" width="12.81640625" style="2" customWidth="1"/>
    <col min="11" max="11" width="11.453125" style="2" bestFit="1" customWidth="1"/>
    <col min="12" max="13" width="11.453125" style="2" customWidth="1"/>
    <col min="14" max="14" width="9.1796875" style="2"/>
    <col min="15" max="15" width="24.26953125" style="2" customWidth="1"/>
    <col min="16" max="16" width="11.54296875" style="2" bestFit="1" customWidth="1"/>
    <col min="17" max="21" width="9.1796875" style="2"/>
    <col min="22" max="22" width="17.81640625" style="2" customWidth="1"/>
    <col min="23" max="23" width="17.54296875" style="2" customWidth="1"/>
    <col min="24" max="16384" width="9.1796875" style="2"/>
  </cols>
  <sheetData>
    <row r="1" spans="1:36" ht="13" x14ac:dyDescent="0.3">
      <c r="A1" s="1" t="s">
        <v>23</v>
      </c>
      <c r="B1" s="3" t="s">
        <v>20</v>
      </c>
      <c r="C1" s="3" t="s">
        <v>28</v>
      </c>
      <c r="D1" s="3" t="s">
        <v>29</v>
      </c>
      <c r="G1" s="3" t="s">
        <v>19</v>
      </c>
      <c r="L1" s="3" t="s">
        <v>22</v>
      </c>
    </row>
    <row r="2" spans="1:36" ht="13" thickBot="1" x14ac:dyDescent="0.3">
      <c r="B2" s="23">
        <v>80</v>
      </c>
      <c r="C2" s="21">
        <f>ROUND(LOOKUP(9999,$C5:$C200),2)</f>
        <v>0</v>
      </c>
      <c r="D2" s="21">
        <v>0</v>
      </c>
      <c r="E2" s="22"/>
      <c r="G2" s="21" t="e">
        <f>ROUND(LOOKUP(9999,$H:$H),2)</f>
        <v>#N/A</v>
      </c>
      <c r="L2" s="21" t="e">
        <f>STDEV($H:$H)</f>
        <v>#DIV/0!</v>
      </c>
    </row>
    <row r="3" spans="1:36" ht="13" thickBot="1" x14ac:dyDescent="0.3">
      <c r="P3" s="41">
        <f>COUNTIF(P5:P113,"Y")</f>
        <v>0</v>
      </c>
      <c r="Q3" s="41">
        <f>COUNTIF(Q5:Q113,"Y")</f>
        <v>0</v>
      </c>
      <c r="R3" s="41">
        <f>COUNTIF(R5:R113,"Y")</f>
        <v>0</v>
      </c>
    </row>
    <row r="4" spans="1:36" ht="39" x14ac:dyDescent="0.3">
      <c r="A4" s="3" t="s">
        <v>0</v>
      </c>
      <c r="B4" s="37" t="s">
        <v>18</v>
      </c>
      <c r="C4" s="3" t="s">
        <v>39</v>
      </c>
      <c r="D4" s="3" t="s">
        <v>15</v>
      </c>
      <c r="E4" s="38" t="s">
        <v>21</v>
      </c>
      <c r="F4" s="3" t="s">
        <v>38</v>
      </c>
      <c r="G4" s="3" t="s">
        <v>16</v>
      </c>
      <c r="H4" s="3" t="s">
        <v>37</v>
      </c>
      <c r="I4" s="37" t="s">
        <v>17</v>
      </c>
      <c r="J4" s="3" t="s">
        <v>40</v>
      </c>
      <c r="K4" s="38" t="s">
        <v>14</v>
      </c>
      <c r="L4" s="38" t="s">
        <v>25</v>
      </c>
      <c r="M4" s="38" t="s">
        <v>24</v>
      </c>
      <c r="O4" s="2" t="s">
        <v>44</v>
      </c>
      <c r="P4" s="2" t="s">
        <v>41</v>
      </c>
      <c r="Q4" s="2" t="s">
        <v>42</v>
      </c>
      <c r="R4" s="2" t="s">
        <v>43</v>
      </c>
      <c r="S4" s="2" t="s">
        <v>45</v>
      </c>
    </row>
    <row r="5" spans="1:36" ht="78.5" x14ac:dyDescent="0.35">
      <c r="A5" s="33">
        <v>43714</v>
      </c>
      <c r="B5" s="4">
        <v>0</v>
      </c>
      <c r="C5" s="5">
        <f>IF(B5&lt;&gt;"",ROUND(AVERAGE(B5:B5),2)," ")</f>
        <v>0</v>
      </c>
      <c r="D5" s="4" t="str">
        <f>IF(I5="","",B5+$B$2)</f>
        <v/>
      </c>
      <c r="E5" s="4">
        <f>IF(I5&lt;&gt;"",IF(D6="",D5+$C$2,""),B2+$C$2)</f>
        <v>80</v>
      </c>
      <c r="F5" s="34" t="e">
        <f>IF(OR(AND(S5="Y",S6="N"),AND(P5="Y",P4="N"),AND(Q5="Y",Q4="N"),AND(R5="Y",R4="N")),TEXT(A5,"mm/dd/yyyyy")," ")</f>
        <v>#VALUE!</v>
      </c>
      <c r="G5" s="4" t="str">
        <f t="shared" ref="G5:G68" si="0">IF(I5="","",I5)</f>
        <v/>
      </c>
      <c r="H5" s="5" t="str">
        <f>IF(I5="","",ROUND(AVERAGE(G5:G5),2))</f>
        <v/>
      </c>
      <c r="I5" s="4"/>
      <c r="J5" s="2" t="str">
        <f>(IF(I5="","",I5))</f>
        <v/>
      </c>
      <c r="K5" s="24" t="e">
        <f>IF(I5&lt;&gt;"",IF(D6="",J5,""),K4+$G$2)</f>
        <v>#VALUE!</v>
      </c>
      <c r="L5" s="24" t="e">
        <f>IF(I5&lt;&gt;"",IF(D6="",J5,""),L4+$G$2+$L$2)</f>
        <v>#VALUE!</v>
      </c>
      <c r="M5" s="24" t="e">
        <f>IF(J5&lt;&gt;"",IF(D6="",K5,""),M4+$G$2-$L$2)</f>
        <v>#VALUE!</v>
      </c>
      <c r="O5" s="34" t="e">
        <f t="shared" ref="O5:O68" si="1">IF(F5&lt;&gt; " ",DATEVALUE(F5)," ")</f>
        <v>#VALUE!</v>
      </c>
      <c r="P5" s="2" t="e">
        <f t="shared" ref="P5:P68" si="2">IF(L5&gt;E5,"Y","N")</f>
        <v>#VALUE!</v>
      </c>
      <c r="Q5" s="2" t="e">
        <f>IF(K5&gt;E5,"Y","N")</f>
        <v>#VALUE!</v>
      </c>
      <c r="R5" s="2" t="e">
        <f>IF(M5&gt;E5,"Y","N")</f>
        <v>#VALUE!</v>
      </c>
      <c r="S5" s="2" t="str">
        <f>IF(AND(ISBLANK(I6),NOT(ISBLANK(I5))),"Y","N")</f>
        <v>N</v>
      </c>
      <c r="T5" s="2" t="b">
        <f t="shared" ref="T5:T28" si="3">ISBLANK(O5)</f>
        <v>0</v>
      </c>
      <c r="U5" s="2" t="b">
        <f>ISTEXT(O5)</f>
        <v>0</v>
      </c>
      <c r="V5" s="2" t="b">
        <f t="shared" ref="V5:V23" si="4">ISNUMBER(O5)</f>
        <v>0</v>
      </c>
      <c r="W5" s="2" t="b">
        <f>ISBLANK(I5)</f>
        <v>1</v>
      </c>
      <c r="X5" s="2" t="b">
        <f>NOT(ISBLANK(I5))</f>
        <v>0</v>
      </c>
      <c r="Y5" s="3" t="str">
        <f>"4-Week Throughput Average: " &amp; $G$5</f>
        <v xml:space="preserve">4-Week Throughput Average: </v>
      </c>
      <c r="Z5" s="42" t="e">
        <f>$G$2</f>
        <v>#N/A</v>
      </c>
      <c r="AA5" s="3" t="str">
        <f>"4-Week Throughput Average at " &amp; TEXT(A5,"mm/dd/yy") &amp; " : " &amp; H5</f>
        <v xml:space="preserve">4-Week Throughput Average at 09/06/19 : </v>
      </c>
      <c r="AB5" s="2" t="e">
        <f>J5/D5</f>
        <v>#VALUE!</v>
      </c>
      <c r="AC5" s="2" t="e">
        <f>"% Scope Complete at "&amp;TEXT(A5,"mm/dd/yy")&amp;" : "&amp; TEXT(J5/D5,"00.0%")</f>
        <v>#VALUE!</v>
      </c>
      <c r="AD5" s="2" t="str">
        <f>"Projected Duration"</f>
        <v>Projected Duration</v>
      </c>
      <c r="AF5" s="2" t="str">
        <f>"Budget Duration"</f>
        <v>Budget Duration</v>
      </c>
      <c r="AH5" s="2" t="str">
        <f>"4-week Average Growth : " &amp; $C$2</f>
        <v>4-week Average Growth : 0</v>
      </c>
      <c r="AJ5" s="2" t="str">
        <f>"4-week Average Growth at " &amp; TEXT(A5,"mm/dd/yyyy") &amp; " : " &amp; C5</f>
        <v>4-week Average Growth at 09/06/2019 : 0</v>
      </c>
    </row>
    <row r="6" spans="1:36" ht="78" x14ac:dyDescent="0.3">
      <c r="A6" s="34">
        <v>43721</v>
      </c>
      <c r="B6" s="4"/>
      <c r="C6" s="5" t="str">
        <f>IF(B6&lt;&gt;"",ROUND(AVERAGE(B5:B6),2)," ")</f>
        <v xml:space="preserve"> </v>
      </c>
      <c r="D6" s="4" t="str">
        <f t="shared" ref="D6:D69" si="5">IF(I6="","",B6+D5)</f>
        <v/>
      </c>
      <c r="E6" s="4">
        <f>IF(I6&lt;&gt;"",IF(D7="",D6+$C$2,""),E5+$C$2)</f>
        <v>80</v>
      </c>
      <c r="F6" s="34" t="e">
        <f>IF(OR(AND(S6="Y",S7="N"),AND(P6="Y",P5="N"),AND(Q6="Y",Q5="N"),AND(R6="Y",R5="N")),TEXT(A6,"mm/dd/yyyyy")," ")</f>
        <v>#VALUE!</v>
      </c>
      <c r="G6" s="4" t="str">
        <f t="shared" si="0"/>
        <v/>
      </c>
      <c r="H6" s="5" t="str">
        <f>IF(I6="","",ROUND(AVERAGE(G5:G6),2))</f>
        <v/>
      </c>
      <c r="I6" s="4"/>
      <c r="J6" s="2" t="str">
        <f t="shared" ref="J6:J69" si="6">(IF(I6="","",I6+J5))</f>
        <v/>
      </c>
      <c r="K6" s="24" t="e">
        <f t="shared" ref="K6:K69" si="7">IF(I6&lt;&gt;"",IF(D7="",J6,""),K5+$G$2)</f>
        <v>#VALUE!</v>
      </c>
      <c r="L6" s="24" t="e">
        <f t="shared" ref="L6:L69" si="8">IF(I6&lt;&gt;"",IF(D7="",J6,""),L5+$G$2+$L$2)</f>
        <v>#VALUE!</v>
      </c>
      <c r="M6" s="24" t="e">
        <f t="shared" ref="M6:M69" si="9">IF(J6&lt;&gt;"",IF(D7="",K6,""),M5+$G$2-$L$2)</f>
        <v>#VALUE!</v>
      </c>
      <c r="O6" s="34" t="e">
        <f t="shared" si="1"/>
        <v>#VALUE!</v>
      </c>
      <c r="P6" s="2" t="e">
        <f t="shared" si="2"/>
        <v>#VALUE!</v>
      </c>
      <c r="Q6" s="2" t="e">
        <f t="shared" ref="Q6:Q69" si="10">IF(K6&gt;E6,"Y","N")</f>
        <v>#VALUE!</v>
      </c>
      <c r="R6" s="2" t="e">
        <f t="shared" ref="R6:R69" si="11">IF(M6&gt;E6,"Y","N")</f>
        <v>#VALUE!</v>
      </c>
      <c r="S6" s="2" t="str">
        <f t="shared" ref="S6:S69" si="12">IF(AND(ISBLANK(I7),NOT(ISBLANK(I6))),"Y","N")</f>
        <v>N</v>
      </c>
      <c r="T6" s="2" t="b">
        <f t="shared" si="3"/>
        <v>0</v>
      </c>
      <c r="U6" s="2" t="b">
        <f t="shared" ref="U6:U69" si="13">ISTEXT(O6)</f>
        <v>0</v>
      </c>
      <c r="V6" s="2" t="b">
        <f t="shared" si="4"/>
        <v>0</v>
      </c>
      <c r="Y6" s="3" t="str">
        <f t="shared" ref="Y6:Y19" si="14">"4-Week Throughput Average: " &amp; $G$5</f>
        <v xml:space="preserve">4-Week Throughput Average: </v>
      </c>
      <c r="Z6" s="42" t="e">
        <f t="shared" ref="Z6:Z19" si="15">$G$2</f>
        <v>#N/A</v>
      </c>
      <c r="AA6" s="3" t="str">
        <f t="shared" ref="AA6:AA19" si="16">"4-Week Throughput Average at " &amp; TEXT(A6,"mm/dd/yy") &amp; " : " &amp; H6</f>
        <v xml:space="preserve">4-Week Throughput Average at 09/13/19 : </v>
      </c>
      <c r="AB6" s="2" t="e">
        <f t="shared" ref="AB6:AB19" si="17">J6/D6</f>
        <v>#VALUE!</v>
      </c>
      <c r="AC6" s="2" t="e">
        <f t="shared" ref="AC6:AC19" si="18">"% Scope Complete at "&amp;TEXT(A6,"mm/dd/yy")&amp;" : "&amp; TEXT(J6/D6,"00.0%")</f>
        <v>#VALUE!</v>
      </c>
      <c r="AD6" s="2" t="str">
        <f t="shared" ref="AD6:AD19" si="19">"Projected Duration"</f>
        <v>Projected Duration</v>
      </c>
      <c r="AF6" s="2" t="str">
        <f t="shared" ref="AF6:AF19" si="20">"Budget Duration"</f>
        <v>Budget Duration</v>
      </c>
      <c r="AH6" s="2" t="str">
        <f t="shared" ref="AH6:AH19" si="21">"4-week Average Growth : " &amp; $C$2</f>
        <v>4-week Average Growth : 0</v>
      </c>
      <c r="AJ6" s="2" t="str">
        <f t="shared" ref="AJ6:AJ19" si="22">"4-week Average Growth at " &amp; TEXT(A6,"mm/dd/yyyy") &amp; " : " &amp; C6</f>
        <v xml:space="preserve">4-week Average Growth at 09/13/2019 :  </v>
      </c>
    </row>
    <row r="7" spans="1:36" ht="78" x14ac:dyDescent="0.3">
      <c r="A7" s="34">
        <v>43728</v>
      </c>
      <c r="B7" s="4"/>
      <c r="C7" s="5" t="str">
        <f>IF(B7&lt;&gt;"",ROUND(AVERAGE(B5:B7),2)," ")</f>
        <v xml:space="preserve"> </v>
      </c>
      <c r="D7" s="4" t="str">
        <f t="shared" si="5"/>
        <v/>
      </c>
      <c r="E7" s="4">
        <f t="shared" ref="E7:E70" si="23">IF(I7&lt;&gt;"",IF(D8="",D7+$C$2,""),E6+$C$2)</f>
        <v>80</v>
      </c>
      <c r="F7" s="34" t="e">
        <f t="shared" ref="F7:F70" si="24">IF(OR(AND(S7="Y",S8="N"),AND(P7="Y",P6="N"),AND(Q7="Y",Q6="N"),AND(R7="Y",R6="N")),TEXT(A7,"mm/dd/yyyyy")," ")</f>
        <v>#VALUE!</v>
      </c>
      <c r="G7" s="4" t="str">
        <f t="shared" si="0"/>
        <v/>
      </c>
      <c r="H7" s="5" t="str">
        <f>IF(I7="","",ROUND(AVERAGE(G5:G7),2))</f>
        <v/>
      </c>
      <c r="I7" s="4"/>
      <c r="J7" s="2" t="str">
        <f t="shared" si="6"/>
        <v/>
      </c>
      <c r="K7" s="24" t="e">
        <f t="shared" si="7"/>
        <v>#VALUE!</v>
      </c>
      <c r="L7" s="24" t="e">
        <f t="shared" si="8"/>
        <v>#VALUE!</v>
      </c>
      <c r="M7" s="24" t="e">
        <f t="shared" si="9"/>
        <v>#VALUE!</v>
      </c>
      <c r="O7" s="34" t="e">
        <f t="shared" si="1"/>
        <v>#VALUE!</v>
      </c>
      <c r="P7" s="2" t="e">
        <f t="shared" si="2"/>
        <v>#VALUE!</v>
      </c>
      <c r="Q7" s="2" t="e">
        <f t="shared" si="10"/>
        <v>#VALUE!</v>
      </c>
      <c r="R7" s="2" t="e">
        <f t="shared" si="11"/>
        <v>#VALUE!</v>
      </c>
      <c r="S7" s="2" t="str">
        <f t="shared" si="12"/>
        <v>N</v>
      </c>
      <c r="T7" s="2" t="b">
        <f t="shared" si="3"/>
        <v>0</v>
      </c>
      <c r="U7" s="2" t="b">
        <f t="shared" si="13"/>
        <v>0</v>
      </c>
      <c r="V7" s="2" t="b">
        <f t="shared" si="4"/>
        <v>0</v>
      </c>
      <c r="X7" s="2" t="str">
        <f ca="1">OFFSET($J$5,,,COUNTIF($J$5:$J$113,"&lt;&gt;"))</f>
        <v/>
      </c>
      <c r="Y7" s="3" t="str">
        <f t="shared" si="14"/>
        <v xml:space="preserve">4-Week Throughput Average: </v>
      </c>
      <c r="Z7" s="42" t="e">
        <f t="shared" si="15"/>
        <v>#N/A</v>
      </c>
      <c r="AA7" s="3" t="str">
        <f t="shared" si="16"/>
        <v xml:space="preserve">4-Week Throughput Average at 09/20/19 : </v>
      </c>
      <c r="AB7" s="2" t="e">
        <f t="shared" si="17"/>
        <v>#VALUE!</v>
      </c>
      <c r="AC7" s="2" t="e">
        <f t="shared" si="18"/>
        <v>#VALUE!</v>
      </c>
      <c r="AD7" s="2" t="str">
        <f t="shared" si="19"/>
        <v>Projected Duration</v>
      </c>
      <c r="AF7" s="2" t="str">
        <f t="shared" si="20"/>
        <v>Budget Duration</v>
      </c>
      <c r="AH7" s="2" t="str">
        <f t="shared" si="21"/>
        <v>4-week Average Growth : 0</v>
      </c>
      <c r="AJ7" s="2" t="str">
        <f t="shared" si="22"/>
        <v xml:space="preserve">4-week Average Growth at 09/20/2019 :  </v>
      </c>
    </row>
    <row r="8" spans="1:36" ht="78" x14ac:dyDescent="0.3">
      <c r="A8" s="34">
        <v>43735</v>
      </c>
      <c r="B8" s="4"/>
      <c r="C8" s="5" t="str">
        <f>IF(B8="","",ROUND(AVERAGE(B5:B8),2))</f>
        <v/>
      </c>
      <c r="D8" s="4" t="str">
        <f t="shared" si="5"/>
        <v/>
      </c>
      <c r="E8" s="4">
        <f t="shared" si="23"/>
        <v>80</v>
      </c>
      <c r="F8" s="34" t="e">
        <f t="shared" si="24"/>
        <v>#VALUE!</v>
      </c>
      <c r="G8" s="4" t="str">
        <f t="shared" si="0"/>
        <v/>
      </c>
      <c r="H8" s="5" t="str">
        <f>IF(I8="","",ROUND(AVERAGE(G5:G8),2))</f>
        <v/>
      </c>
      <c r="I8" s="4"/>
      <c r="J8" s="2" t="str">
        <f t="shared" si="6"/>
        <v/>
      </c>
      <c r="K8" s="24" t="e">
        <f t="shared" si="7"/>
        <v>#VALUE!</v>
      </c>
      <c r="L8" s="24" t="e">
        <f t="shared" si="8"/>
        <v>#VALUE!</v>
      </c>
      <c r="M8" s="24" t="e">
        <f t="shared" si="9"/>
        <v>#VALUE!</v>
      </c>
      <c r="O8" s="34" t="e">
        <f t="shared" si="1"/>
        <v>#VALUE!</v>
      </c>
      <c r="P8" s="2" t="e">
        <f t="shared" si="2"/>
        <v>#VALUE!</v>
      </c>
      <c r="Q8" s="2" t="e">
        <f t="shared" si="10"/>
        <v>#VALUE!</v>
      </c>
      <c r="R8" s="2" t="e">
        <f t="shared" si="11"/>
        <v>#VALUE!</v>
      </c>
      <c r="S8" s="2" t="str">
        <f t="shared" si="12"/>
        <v>N</v>
      </c>
      <c r="T8" s="2" t="b">
        <f t="shared" si="3"/>
        <v>0</v>
      </c>
      <c r="U8" s="2" t="b">
        <f t="shared" si="13"/>
        <v>0</v>
      </c>
      <c r="V8" s="2" t="b">
        <f t="shared" si="4"/>
        <v>0</v>
      </c>
      <c r="Y8" s="3" t="str">
        <f t="shared" si="14"/>
        <v xml:space="preserve">4-Week Throughput Average: </v>
      </c>
      <c r="Z8" s="42" t="e">
        <f t="shared" si="15"/>
        <v>#N/A</v>
      </c>
      <c r="AA8" s="3" t="str">
        <f t="shared" si="16"/>
        <v xml:space="preserve">4-Week Throughput Average at 09/27/19 : </v>
      </c>
      <c r="AB8" s="2" t="e">
        <f t="shared" si="17"/>
        <v>#VALUE!</v>
      </c>
      <c r="AC8" s="2" t="e">
        <f t="shared" si="18"/>
        <v>#VALUE!</v>
      </c>
      <c r="AD8" s="2" t="str">
        <f t="shared" si="19"/>
        <v>Projected Duration</v>
      </c>
      <c r="AF8" s="2" t="str">
        <f t="shared" si="20"/>
        <v>Budget Duration</v>
      </c>
      <c r="AH8" s="2" t="str">
        <f t="shared" si="21"/>
        <v>4-week Average Growth : 0</v>
      </c>
      <c r="AJ8" s="2" t="str">
        <f t="shared" si="22"/>
        <v xml:space="preserve">4-week Average Growth at 09/27/2019 : </v>
      </c>
    </row>
    <row r="9" spans="1:36" ht="78" x14ac:dyDescent="0.3">
      <c r="A9" s="34">
        <v>43742</v>
      </c>
      <c r="B9" s="4"/>
      <c r="C9" s="5" t="str">
        <f t="shared" ref="C9:C72" si="25">IF(B9="","",ROUND(AVERAGE(B6:B9),2))</f>
        <v/>
      </c>
      <c r="D9" s="4" t="str">
        <f t="shared" si="5"/>
        <v/>
      </c>
      <c r="E9" s="4">
        <f t="shared" si="23"/>
        <v>80</v>
      </c>
      <c r="F9" s="34" t="e">
        <f t="shared" si="24"/>
        <v>#VALUE!</v>
      </c>
      <c r="G9" s="4" t="str">
        <f t="shared" si="0"/>
        <v/>
      </c>
      <c r="H9" s="5" t="str">
        <f t="shared" ref="H9:H72" si="26">IF(I9="","",ROUND(AVERAGE(G6:G9),2))</f>
        <v/>
      </c>
      <c r="I9" s="4"/>
      <c r="J9" s="2" t="str">
        <f t="shared" si="6"/>
        <v/>
      </c>
      <c r="K9" s="24" t="e">
        <f t="shared" si="7"/>
        <v>#VALUE!</v>
      </c>
      <c r="L9" s="24" t="e">
        <f t="shared" si="8"/>
        <v>#VALUE!</v>
      </c>
      <c r="M9" s="24" t="e">
        <f t="shared" si="9"/>
        <v>#VALUE!</v>
      </c>
      <c r="O9" s="34" t="e">
        <f t="shared" si="1"/>
        <v>#VALUE!</v>
      </c>
      <c r="P9" s="2" t="e">
        <f t="shared" si="2"/>
        <v>#VALUE!</v>
      </c>
      <c r="Q9" s="2" t="e">
        <f t="shared" si="10"/>
        <v>#VALUE!</v>
      </c>
      <c r="R9" s="2" t="e">
        <f t="shared" si="11"/>
        <v>#VALUE!</v>
      </c>
      <c r="S9" s="2" t="str">
        <f t="shared" si="12"/>
        <v>N</v>
      </c>
      <c r="T9" s="2" t="b">
        <f t="shared" si="3"/>
        <v>0</v>
      </c>
      <c r="U9" s="2" t="b">
        <f t="shared" si="13"/>
        <v>0</v>
      </c>
      <c r="V9" s="2" t="b">
        <f t="shared" si="4"/>
        <v>0</v>
      </c>
      <c r="Y9" s="3" t="str">
        <f t="shared" si="14"/>
        <v xml:space="preserve">4-Week Throughput Average: </v>
      </c>
      <c r="Z9" s="42" t="e">
        <f t="shared" si="15"/>
        <v>#N/A</v>
      </c>
      <c r="AA9" s="3" t="str">
        <f t="shared" si="16"/>
        <v xml:space="preserve">4-Week Throughput Average at 10/04/19 : </v>
      </c>
      <c r="AB9" s="2" t="e">
        <f t="shared" si="17"/>
        <v>#VALUE!</v>
      </c>
      <c r="AC9" s="2" t="e">
        <f t="shared" si="18"/>
        <v>#VALUE!</v>
      </c>
      <c r="AD9" s="2" t="str">
        <f t="shared" si="19"/>
        <v>Projected Duration</v>
      </c>
      <c r="AF9" s="2" t="str">
        <f t="shared" si="20"/>
        <v>Budget Duration</v>
      </c>
      <c r="AH9" s="2" t="str">
        <f t="shared" si="21"/>
        <v>4-week Average Growth : 0</v>
      </c>
      <c r="AJ9" s="2" t="str">
        <f t="shared" si="22"/>
        <v xml:space="preserve">4-week Average Growth at 10/04/2019 : </v>
      </c>
    </row>
    <row r="10" spans="1:36" ht="78" x14ac:dyDescent="0.3">
      <c r="A10" s="34">
        <v>43749</v>
      </c>
      <c r="B10" s="4"/>
      <c r="C10" s="5" t="str">
        <f t="shared" si="25"/>
        <v/>
      </c>
      <c r="D10" s="4" t="str">
        <f t="shared" si="5"/>
        <v/>
      </c>
      <c r="E10" s="4">
        <f t="shared" si="23"/>
        <v>80</v>
      </c>
      <c r="F10" s="34" t="e">
        <f t="shared" si="24"/>
        <v>#VALUE!</v>
      </c>
      <c r="G10" s="4" t="str">
        <f t="shared" si="0"/>
        <v/>
      </c>
      <c r="H10" s="5" t="str">
        <f t="shared" si="26"/>
        <v/>
      </c>
      <c r="I10" s="4"/>
      <c r="J10" s="2" t="str">
        <f t="shared" si="6"/>
        <v/>
      </c>
      <c r="K10" s="24" t="e">
        <f t="shared" si="7"/>
        <v>#VALUE!</v>
      </c>
      <c r="L10" s="24" t="e">
        <f t="shared" si="8"/>
        <v>#VALUE!</v>
      </c>
      <c r="M10" s="24" t="e">
        <f t="shared" si="9"/>
        <v>#VALUE!</v>
      </c>
      <c r="O10" s="34" t="e">
        <f t="shared" si="1"/>
        <v>#VALUE!</v>
      </c>
      <c r="P10" s="2" t="e">
        <f t="shared" si="2"/>
        <v>#VALUE!</v>
      </c>
      <c r="Q10" s="2" t="e">
        <f t="shared" si="10"/>
        <v>#VALUE!</v>
      </c>
      <c r="R10" s="2" t="e">
        <f t="shared" si="11"/>
        <v>#VALUE!</v>
      </c>
      <c r="S10" s="2" t="str">
        <f t="shared" si="12"/>
        <v>N</v>
      </c>
      <c r="T10" s="2" t="b">
        <f t="shared" si="3"/>
        <v>0</v>
      </c>
      <c r="U10" s="2" t="b">
        <f t="shared" si="13"/>
        <v>0</v>
      </c>
      <c r="V10" s="2" t="b">
        <f t="shared" si="4"/>
        <v>0</v>
      </c>
      <c r="Y10" s="3" t="str">
        <f t="shared" si="14"/>
        <v xml:space="preserve">4-Week Throughput Average: </v>
      </c>
      <c r="Z10" s="42" t="e">
        <f t="shared" si="15"/>
        <v>#N/A</v>
      </c>
      <c r="AA10" s="3" t="str">
        <f t="shared" si="16"/>
        <v xml:space="preserve">4-Week Throughput Average at 10/11/19 : </v>
      </c>
      <c r="AB10" s="2" t="e">
        <f t="shared" si="17"/>
        <v>#VALUE!</v>
      </c>
      <c r="AC10" s="2" t="e">
        <f t="shared" si="18"/>
        <v>#VALUE!</v>
      </c>
      <c r="AD10" s="2" t="str">
        <f t="shared" si="19"/>
        <v>Projected Duration</v>
      </c>
      <c r="AF10" s="2" t="str">
        <f t="shared" si="20"/>
        <v>Budget Duration</v>
      </c>
      <c r="AH10" s="2" t="str">
        <f t="shared" si="21"/>
        <v>4-week Average Growth : 0</v>
      </c>
      <c r="AJ10" s="2" t="str">
        <f t="shared" si="22"/>
        <v xml:space="preserve">4-week Average Growth at 10/11/2019 : </v>
      </c>
    </row>
    <row r="11" spans="1:36" ht="78" x14ac:dyDescent="0.3">
      <c r="A11" s="34">
        <v>43756</v>
      </c>
      <c r="B11" s="4"/>
      <c r="C11" s="5" t="str">
        <f t="shared" si="25"/>
        <v/>
      </c>
      <c r="D11" s="4" t="str">
        <f t="shared" si="5"/>
        <v/>
      </c>
      <c r="E11" s="4">
        <f t="shared" si="23"/>
        <v>80</v>
      </c>
      <c r="F11" s="34" t="e">
        <f t="shared" si="24"/>
        <v>#VALUE!</v>
      </c>
      <c r="G11" s="4" t="str">
        <f t="shared" si="0"/>
        <v/>
      </c>
      <c r="H11" s="5" t="str">
        <f t="shared" si="26"/>
        <v/>
      </c>
      <c r="I11" s="4"/>
      <c r="J11" s="2" t="str">
        <f t="shared" si="6"/>
        <v/>
      </c>
      <c r="K11" s="24" t="e">
        <f t="shared" si="7"/>
        <v>#VALUE!</v>
      </c>
      <c r="L11" s="24" t="e">
        <f t="shared" si="8"/>
        <v>#VALUE!</v>
      </c>
      <c r="M11" s="24" t="e">
        <f t="shared" si="9"/>
        <v>#VALUE!</v>
      </c>
      <c r="O11" s="34" t="e">
        <f t="shared" si="1"/>
        <v>#VALUE!</v>
      </c>
      <c r="P11" s="2" t="e">
        <f t="shared" si="2"/>
        <v>#VALUE!</v>
      </c>
      <c r="Q11" s="2" t="e">
        <f t="shared" si="10"/>
        <v>#VALUE!</v>
      </c>
      <c r="R11" s="2" t="e">
        <f t="shared" si="11"/>
        <v>#VALUE!</v>
      </c>
      <c r="S11" s="2" t="str">
        <f t="shared" si="12"/>
        <v>N</v>
      </c>
      <c r="T11" s="2" t="b">
        <f t="shared" si="3"/>
        <v>0</v>
      </c>
      <c r="U11" s="2" t="b">
        <f t="shared" si="13"/>
        <v>0</v>
      </c>
      <c r="V11" s="2" t="b">
        <f t="shared" si="4"/>
        <v>0</v>
      </c>
      <c r="Y11" s="3" t="str">
        <f t="shared" si="14"/>
        <v xml:space="preserve">4-Week Throughput Average: </v>
      </c>
      <c r="Z11" s="42" t="e">
        <f t="shared" si="15"/>
        <v>#N/A</v>
      </c>
      <c r="AA11" s="3" t="str">
        <f t="shared" si="16"/>
        <v xml:space="preserve">4-Week Throughput Average at 10/18/19 : </v>
      </c>
      <c r="AB11" s="2" t="e">
        <f t="shared" si="17"/>
        <v>#VALUE!</v>
      </c>
      <c r="AC11" s="2" t="e">
        <f t="shared" si="18"/>
        <v>#VALUE!</v>
      </c>
      <c r="AD11" s="2" t="str">
        <f t="shared" si="19"/>
        <v>Projected Duration</v>
      </c>
      <c r="AF11" s="2" t="str">
        <f t="shared" si="20"/>
        <v>Budget Duration</v>
      </c>
      <c r="AH11" s="2" t="str">
        <f t="shared" si="21"/>
        <v>4-week Average Growth : 0</v>
      </c>
      <c r="AJ11" s="2" t="str">
        <f t="shared" si="22"/>
        <v xml:space="preserve">4-week Average Growth at 10/18/2019 : </v>
      </c>
    </row>
    <row r="12" spans="1:36" ht="78" x14ac:dyDescent="0.3">
      <c r="A12" s="34">
        <v>43763</v>
      </c>
      <c r="B12" s="4"/>
      <c r="C12" s="5" t="str">
        <f t="shared" si="25"/>
        <v/>
      </c>
      <c r="D12" s="4" t="str">
        <f t="shared" si="5"/>
        <v/>
      </c>
      <c r="E12" s="4">
        <f t="shared" si="23"/>
        <v>80</v>
      </c>
      <c r="F12" s="34" t="e">
        <f t="shared" si="24"/>
        <v>#VALUE!</v>
      </c>
      <c r="G12" s="4" t="str">
        <f t="shared" si="0"/>
        <v/>
      </c>
      <c r="H12" s="5" t="str">
        <f t="shared" si="26"/>
        <v/>
      </c>
      <c r="I12" s="4"/>
      <c r="J12" s="2" t="str">
        <f t="shared" si="6"/>
        <v/>
      </c>
      <c r="K12" s="24" t="e">
        <f t="shared" si="7"/>
        <v>#VALUE!</v>
      </c>
      <c r="L12" s="24" t="e">
        <f t="shared" si="8"/>
        <v>#VALUE!</v>
      </c>
      <c r="M12" s="24" t="e">
        <f t="shared" si="9"/>
        <v>#VALUE!</v>
      </c>
      <c r="O12" s="34" t="e">
        <f t="shared" si="1"/>
        <v>#VALUE!</v>
      </c>
      <c r="P12" s="2" t="e">
        <f t="shared" si="2"/>
        <v>#VALUE!</v>
      </c>
      <c r="Q12" s="2" t="e">
        <f t="shared" si="10"/>
        <v>#VALUE!</v>
      </c>
      <c r="R12" s="2" t="e">
        <f t="shared" si="11"/>
        <v>#VALUE!</v>
      </c>
      <c r="S12" s="2" t="str">
        <f t="shared" si="12"/>
        <v>N</v>
      </c>
      <c r="T12" s="2" t="b">
        <f t="shared" si="3"/>
        <v>0</v>
      </c>
      <c r="U12" s="2" t="b">
        <f t="shared" si="13"/>
        <v>0</v>
      </c>
      <c r="V12" s="2" t="b">
        <f t="shared" si="4"/>
        <v>0</v>
      </c>
      <c r="Y12" s="3" t="str">
        <f t="shared" si="14"/>
        <v xml:space="preserve">4-Week Throughput Average: </v>
      </c>
      <c r="Z12" s="42" t="e">
        <f t="shared" si="15"/>
        <v>#N/A</v>
      </c>
      <c r="AA12" s="3" t="str">
        <f t="shared" si="16"/>
        <v xml:space="preserve">4-Week Throughput Average at 10/25/19 : </v>
      </c>
      <c r="AB12" s="2" t="e">
        <f t="shared" si="17"/>
        <v>#VALUE!</v>
      </c>
      <c r="AC12" s="2" t="e">
        <f t="shared" si="18"/>
        <v>#VALUE!</v>
      </c>
      <c r="AD12" s="2" t="str">
        <f t="shared" si="19"/>
        <v>Projected Duration</v>
      </c>
      <c r="AF12" s="2" t="str">
        <f t="shared" si="20"/>
        <v>Budget Duration</v>
      </c>
      <c r="AH12" s="2" t="str">
        <f t="shared" si="21"/>
        <v>4-week Average Growth : 0</v>
      </c>
      <c r="AJ12" s="2" t="str">
        <f t="shared" si="22"/>
        <v xml:space="preserve">4-week Average Growth at 10/25/2019 : </v>
      </c>
    </row>
    <row r="13" spans="1:36" ht="78" x14ac:dyDescent="0.3">
      <c r="A13" s="34">
        <v>43770</v>
      </c>
      <c r="B13" s="4"/>
      <c r="C13" s="5" t="str">
        <f t="shared" si="25"/>
        <v/>
      </c>
      <c r="D13" s="4" t="str">
        <f t="shared" si="5"/>
        <v/>
      </c>
      <c r="E13" s="4">
        <f t="shared" si="23"/>
        <v>80</v>
      </c>
      <c r="F13" s="34" t="e">
        <f t="shared" si="24"/>
        <v>#VALUE!</v>
      </c>
      <c r="G13" s="4" t="str">
        <f t="shared" si="0"/>
        <v/>
      </c>
      <c r="H13" s="5" t="str">
        <f t="shared" si="26"/>
        <v/>
      </c>
      <c r="I13" s="4"/>
      <c r="J13" s="2" t="str">
        <f t="shared" si="6"/>
        <v/>
      </c>
      <c r="K13" s="24" t="e">
        <f t="shared" si="7"/>
        <v>#VALUE!</v>
      </c>
      <c r="L13" s="24" t="e">
        <f t="shared" si="8"/>
        <v>#VALUE!</v>
      </c>
      <c r="M13" s="24" t="e">
        <f t="shared" si="9"/>
        <v>#VALUE!</v>
      </c>
      <c r="O13" s="34" t="e">
        <f t="shared" si="1"/>
        <v>#VALUE!</v>
      </c>
      <c r="P13" s="2" t="e">
        <f t="shared" si="2"/>
        <v>#VALUE!</v>
      </c>
      <c r="Q13" s="2" t="e">
        <f t="shared" si="10"/>
        <v>#VALUE!</v>
      </c>
      <c r="R13" s="2" t="e">
        <f t="shared" si="11"/>
        <v>#VALUE!</v>
      </c>
      <c r="S13" s="2" t="str">
        <f t="shared" si="12"/>
        <v>N</v>
      </c>
      <c r="T13" s="2" t="b">
        <f t="shared" si="3"/>
        <v>0</v>
      </c>
      <c r="U13" s="2" t="b">
        <f t="shared" si="13"/>
        <v>0</v>
      </c>
      <c r="V13" s="2" t="b">
        <f t="shared" si="4"/>
        <v>0</v>
      </c>
      <c r="Y13" s="3" t="str">
        <f t="shared" si="14"/>
        <v xml:space="preserve">4-Week Throughput Average: </v>
      </c>
      <c r="Z13" s="42" t="e">
        <f t="shared" si="15"/>
        <v>#N/A</v>
      </c>
      <c r="AA13" s="3" t="str">
        <f t="shared" si="16"/>
        <v xml:space="preserve">4-Week Throughput Average at 11/01/19 : </v>
      </c>
      <c r="AB13" s="2" t="e">
        <f t="shared" si="17"/>
        <v>#VALUE!</v>
      </c>
      <c r="AC13" s="2" t="e">
        <f t="shared" si="18"/>
        <v>#VALUE!</v>
      </c>
      <c r="AD13" s="2" t="str">
        <f t="shared" si="19"/>
        <v>Projected Duration</v>
      </c>
      <c r="AF13" s="2" t="str">
        <f t="shared" si="20"/>
        <v>Budget Duration</v>
      </c>
      <c r="AH13" s="2" t="str">
        <f t="shared" si="21"/>
        <v>4-week Average Growth : 0</v>
      </c>
      <c r="AJ13" s="2" t="str">
        <f t="shared" si="22"/>
        <v xml:space="preserve">4-week Average Growth at 11/01/2019 : </v>
      </c>
    </row>
    <row r="14" spans="1:36" ht="78" x14ac:dyDescent="0.3">
      <c r="A14" s="34">
        <v>43777</v>
      </c>
      <c r="B14" s="4"/>
      <c r="C14" s="5" t="str">
        <f t="shared" si="25"/>
        <v/>
      </c>
      <c r="D14" s="4" t="str">
        <f t="shared" si="5"/>
        <v/>
      </c>
      <c r="E14" s="4">
        <f t="shared" si="23"/>
        <v>80</v>
      </c>
      <c r="F14" s="34" t="e">
        <f t="shared" si="24"/>
        <v>#VALUE!</v>
      </c>
      <c r="G14" s="4" t="str">
        <f t="shared" si="0"/>
        <v/>
      </c>
      <c r="H14" s="5" t="str">
        <f t="shared" si="26"/>
        <v/>
      </c>
      <c r="I14" s="4"/>
      <c r="J14" s="2" t="str">
        <f t="shared" si="6"/>
        <v/>
      </c>
      <c r="K14" s="24" t="e">
        <f t="shared" si="7"/>
        <v>#VALUE!</v>
      </c>
      <c r="L14" s="24" t="e">
        <f t="shared" si="8"/>
        <v>#VALUE!</v>
      </c>
      <c r="M14" s="24" t="e">
        <f t="shared" si="9"/>
        <v>#VALUE!</v>
      </c>
      <c r="O14" s="34" t="e">
        <f t="shared" si="1"/>
        <v>#VALUE!</v>
      </c>
      <c r="P14" s="2" t="e">
        <f t="shared" si="2"/>
        <v>#VALUE!</v>
      </c>
      <c r="Q14" s="2" t="e">
        <f t="shared" si="10"/>
        <v>#VALUE!</v>
      </c>
      <c r="R14" s="2" t="e">
        <f t="shared" si="11"/>
        <v>#VALUE!</v>
      </c>
      <c r="S14" s="2" t="str">
        <f t="shared" si="12"/>
        <v>N</v>
      </c>
      <c r="T14" s="2" t="b">
        <f t="shared" si="3"/>
        <v>0</v>
      </c>
      <c r="U14" s="2" t="b">
        <f t="shared" si="13"/>
        <v>0</v>
      </c>
      <c r="V14" s="2" t="b">
        <f t="shared" si="4"/>
        <v>0</v>
      </c>
      <c r="Y14" s="3" t="str">
        <f t="shared" si="14"/>
        <v xml:space="preserve">4-Week Throughput Average: </v>
      </c>
      <c r="Z14" s="42" t="e">
        <f t="shared" si="15"/>
        <v>#N/A</v>
      </c>
      <c r="AA14" s="3" t="str">
        <f t="shared" si="16"/>
        <v xml:space="preserve">4-Week Throughput Average at 11/08/19 : </v>
      </c>
      <c r="AB14" s="2" t="e">
        <f t="shared" si="17"/>
        <v>#VALUE!</v>
      </c>
      <c r="AC14" s="2" t="e">
        <f t="shared" si="18"/>
        <v>#VALUE!</v>
      </c>
      <c r="AD14" s="2" t="str">
        <f t="shared" si="19"/>
        <v>Projected Duration</v>
      </c>
      <c r="AF14" s="2" t="str">
        <f t="shared" si="20"/>
        <v>Budget Duration</v>
      </c>
      <c r="AH14" s="2" t="str">
        <f t="shared" si="21"/>
        <v>4-week Average Growth : 0</v>
      </c>
      <c r="AJ14" s="2" t="str">
        <f t="shared" si="22"/>
        <v xml:space="preserve">4-week Average Growth at 11/08/2019 : </v>
      </c>
    </row>
    <row r="15" spans="1:36" ht="78" x14ac:dyDescent="0.3">
      <c r="A15" s="34">
        <v>43784</v>
      </c>
      <c r="B15" s="4"/>
      <c r="C15" s="5" t="str">
        <f t="shared" si="25"/>
        <v/>
      </c>
      <c r="D15" s="4" t="str">
        <f t="shared" si="5"/>
        <v/>
      </c>
      <c r="E15" s="4">
        <f t="shared" si="23"/>
        <v>80</v>
      </c>
      <c r="F15" s="34" t="e">
        <f t="shared" si="24"/>
        <v>#VALUE!</v>
      </c>
      <c r="G15" s="4" t="str">
        <f t="shared" si="0"/>
        <v/>
      </c>
      <c r="H15" s="5" t="str">
        <f t="shared" si="26"/>
        <v/>
      </c>
      <c r="I15" s="4"/>
      <c r="J15" s="2" t="str">
        <f t="shared" si="6"/>
        <v/>
      </c>
      <c r="K15" s="24" t="e">
        <f t="shared" si="7"/>
        <v>#VALUE!</v>
      </c>
      <c r="L15" s="24" t="e">
        <f t="shared" si="8"/>
        <v>#VALUE!</v>
      </c>
      <c r="M15" s="24" t="e">
        <f t="shared" si="9"/>
        <v>#VALUE!</v>
      </c>
      <c r="O15" s="34" t="e">
        <f t="shared" si="1"/>
        <v>#VALUE!</v>
      </c>
      <c r="P15" s="2" t="e">
        <f t="shared" si="2"/>
        <v>#VALUE!</v>
      </c>
      <c r="Q15" s="2" t="e">
        <f t="shared" si="10"/>
        <v>#VALUE!</v>
      </c>
      <c r="R15" s="2" t="e">
        <f t="shared" si="11"/>
        <v>#VALUE!</v>
      </c>
      <c r="S15" s="2" t="str">
        <f t="shared" si="12"/>
        <v>N</v>
      </c>
      <c r="T15" s="2" t="b">
        <f t="shared" si="3"/>
        <v>0</v>
      </c>
      <c r="U15" s="2" t="b">
        <f t="shared" si="13"/>
        <v>0</v>
      </c>
      <c r="V15" s="2" t="b">
        <f t="shared" si="4"/>
        <v>0</v>
      </c>
      <c r="Y15" s="3" t="str">
        <f t="shared" si="14"/>
        <v xml:space="preserve">4-Week Throughput Average: </v>
      </c>
      <c r="Z15" s="42" t="e">
        <f t="shared" si="15"/>
        <v>#N/A</v>
      </c>
      <c r="AA15" s="3" t="str">
        <f t="shared" si="16"/>
        <v xml:space="preserve">4-Week Throughput Average at 11/15/19 : </v>
      </c>
      <c r="AB15" s="2" t="e">
        <f t="shared" si="17"/>
        <v>#VALUE!</v>
      </c>
      <c r="AC15" s="2" t="e">
        <f t="shared" si="18"/>
        <v>#VALUE!</v>
      </c>
      <c r="AD15" s="2" t="str">
        <f t="shared" si="19"/>
        <v>Projected Duration</v>
      </c>
      <c r="AF15" s="2" t="str">
        <f t="shared" si="20"/>
        <v>Budget Duration</v>
      </c>
      <c r="AH15" s="2" t="str">
        <f t="shared" si="21"/>
        <v>4-week Average Growth : 0</v>
      </c>
      <c r="AJ15" s="2" t="str">
        <f t="shared" si="22"/>
        <v xml:space="preserve">4-week Average Growth at 11/15/2019 : </v>
      </c>
    </row>
    <row r="16" spans="1:36" ht="78" x14ac:dyDescent="0.3">
      <c r="A16" s="34">
        <v>43791</v>
      </c>
      <c r="B16" s="4"/>
      <c r="C16" s="5" t="str">
        <f t="shared" si="25"/>
        <v/>
      </c>
      <c r="D16" s="4" t="str">
        <f t="shared" si="5"/>
        <v/>
      </c>
      <c r="E16" s="4">
        <f t="shared" si="23"/>
        <v>80</v>
      </c>
      <c r="F16" s="34" t="e">
        <f t="shared" si="24"/>
        <v>#VALUE!</v>
      </c>
      <c r="G16" s="4" t="str">
        <f t="shared" si="0"/>
        <v/>
      </c>
      <c r="H16" s="5" t="str">
        <f t="shared" si="26"/>
        <v/>
      </c>
      <c r="I16" s="4"/>
      <c r="J16" s="2" t="str">
        <f t="shared" si="6"/>
        <v/>
      </c>
      <c r="K16" s="24" t="e">
        <f t="shared" si="7"/>
        <v>#VALUE!</v>
      </c>
      <c r="L16" s="24" t="e">
        <f t="shared" si="8"/>
        <v>#VALUE!</v>
      </c>
      <c r="M16" s="24" t="e">
        <f t="shared" si="9"/>
        <v>#VALUE!</v>
      </c>
      <c r="O16" s="34" t="e">
        <f t="shared" si="1"/>
        <v>#VALUE!</v>
      </c>
      <c r="P16" s="2" t="e">
        <f t="shared" si="2"/>
        <v>#VALUE!</v>
      </c>
      <c r="Q16" s="2" t="e">
        <f t="shared" si="10"/>
        <v>#VALUE!</v>
      </c>
      <c r="R16" s="2" t="e">
        <f t="shared" si="11"/>
        <v>#VALUE!</v>
      </c>
      <c r="S16" s="2" t="str">
        <f t="shared" si="12"/>
        <v>N</v>
      </c>
      <c r="T16" s="2" t="b">
        <f t="shared" si="3"/>
        <v>0</v>
      </c>
      <c r="U16" s="2" t="b">
        <f t="shared" si="13"/>
        <v>0</v>
      </c>
      <c r="V16" s="2" t="b">
        <f t="shared" si="4"/>
        <v>0</v>
      </c>
      <c r="Y16" s="3" t="str">
        <f t="shared" si="14"/>
        <v xml:space="preserve">4-Week Throughput Average: </v>
      </c>
      <c r="Z16" s="42" t="e">
        <f t="shared" si="15"/>
        <v>#N/A</v>
      </c>
      <c r="AA16" s="3" t="str">
        <f t="shared" si="16"/>
        <v xml:space="preserve">4-Week Throughput Average at 11/22/19 : </v>
      </c>
      <c r="AB16" s="2" t="e">
        <f t="shared" si="17"/>
        <v>#VALUE!</v>
      </c>
      <c r="AC16" s="2" t="e">
        <f t="shared" si="18"/>
        <v>#VALUE!</v>
      </c>
      <c r="AD16" s="2" t="str">
        <f t="shared" si="19"/>
        <v>Projected Duration</v>
      </c>
      <c r="AF16" s="2" t="str">
        <f t="shared" si="20"/>
        <v>Budget Duration</v>
      </c>
      <c r="AH16" s="2" t="str">
        <f t="shared" si="21"/>
        <v>4-week Average Growth : 0</v>
      </c>
      <c r="AJ16" s="2" t="str">
        <f t="shared" si="22"/>
        <v xml:space="preserve">4-week Average Growth at 11/22/2019 : </v>
      </c>
    </row>
    <row r="17" spans="1:36" ht="78" x14ac:dyDescent="0.3">
      <c r="A17" s="34">
        <v>43798</v>
      </c>
      <c r="B17" s="4"/>
      <c r="C17" s="5" t="str">
        <f t="shared" si="25"/>
        <v/>
      </c>
      <c r="D17" s="4" t="str">
        <f t="shared" si="5"/>
        <v/>
      </c>
      <c r="E17" s="4">
        <f t="shared" si="23"/>
        <v>80</v>
      </c>
      <c r="F17" s="34" t="e">
        <f t="shared" si="24"/>
        <v>#VALUE!</v>
      </c>
      <c r="G17" s="4" t="str">
        <f t="shared" si="0"/>
        <v/>
      </c>
      <c r="H17" s="5" t="str">
        <f t="shared" si="26"/>
        <v/>
      </c>
      <c r="I17" s="4"/>
      <c r="J17" s="2" t="str">
        <f t="shared" si="6"/>
        <v/>
      </c>
      <c r="K17" s="24" t="e">
        <f t="shared" si="7"/>
        <v>#VALUE!</v>
      </c>
      <c r="L17" s="24" t="e">
        <f t="shared" si="8"/>
        <v>#VALUE!</v>
      </c>
      <c r="M17" s="24" t="e">
        <f t="shared" si="9"/>
        <v>#VALUE!</v>
      </c>
      <c r="O17" s="34" t="e">
        <f t="shared" si="1"/>
        <v>#VALUE!</v>
      </c>
      <c r="P17" s="2" t="e">
        <f t="shared" si="2"/>
        <v>#VALUE!</v>
      </c>
      <c r="Q17" s="2" t="e">
        <f t="shared" si="10"/>
        <v>#VALUE!</v>
      </c>
      <c r="R17" s="2" t="e">
        <f t="shared" si="11"/>
        <v>#VALUE!</v>
      </c>
      <c r="S17" s="2" t="str">
        <f t="shared" si="12"/>
        <v>N</v>
      </c>
      <c r="T17" s="2" t="b">
        <f t="shared" si="3"/>
        <v>0</v>
      </c>
      <c r="U17" s="2" t="b">
        <f t="shared" si="13"/>
        <v>0</v>
      </c>
      <c r="V17" s="2" t="b">
        <f t="shared" si="4"/>
        <v>0</v>
      </c>
      <c r="Y17" s="3" t="str">
        <f t="shared" si="14"/>
        <v xml:space="preserve">4-Week Throughput Average: </v>
      </c>
      <c r="Z17" s="42" t="e">
        <f t="shared" si="15"/>
        <v>#N/A</v>
      </c>
      <c r="AA17" s="3" t="str">
        <f t="shared" si="16"/>
        <v xml:space="preserve">4-Week Throughput Average at 11/29/19 : </v>
      </c>
      <c r="AB17" s="2" t="e">
        <f t="shared" si="17"/>
        <v>#VALUE!</v>
      </c>
      <c r="AC17" s="2" t="e">
        <f t="shared" si="18"/>
        <v>#VALUE!</v>
      </c>
      <c r="AD17" s="2" t="str">
        <f t="shared" si="19"/>
        <v>Projected Duration</v>
      </c>
      <c r="AF17" s="2" t="str">
        <f t="shared" si="20"/>
        <v>Budget Duration</v>
      </c>
      <c r="AH17" s="2" t="str">
        <f t="shared" si="21"/>
        <v>4-week Average Growth : 0</v>
      </c>
      <c r="AJ17" s="2" t="str">
        <f t="shared" si="22"/>
        <v xml:space="preserve">4-week Average Growth at 11/29/2019 : </v>
      </c>
    </row>
    <row r="18" spans="1:36" ht="78" x14ac:dyDescent="0.3">
      <c r="A18" s="34">
        <v>43805</v>
      </c>
      <c r="B18" s="4"/>
      <c r="C18" s="5" t="str">
        <f t="shared" si="25"/>
        <v/>
      </c>
      <c r="D18" s="4" t="str">
        <f t="shared" si="5"/>
        <v/>
      </c>
      <c r="E18" s="4">
        <f t="shared" si="23"/>
        <v>80</v>
      </c>
      <c r="F18" s="34" t="e">
        <f t="shared" si="24"/>
        <v>#VALUE!</v>
      </c>
      <c r="G18" s="4" t="str">
        <f t="shared" si="0"/>
        <v/>
      </c>
      <c r="H18" s="5" t="str">
        <f t="shared" si="26"/>
        <v/>
      </c>
      <c r="I18" s="4"/>
      <c r="J18" s="2" t="str">
        <f t="shared" si="6"/>
        <v/>
      </c>
      <c r="K18" s="24" t="e">
        <f t="shared" si="7"/>
        <v>#VALUE!</v>
      </c>
      <c r="L18" s="24" t="e">
        <f t="shared" si="8"/>
        <v>#VALUE!</v>
      </c>
      <c r="M18" s="24" t="e">
        <f t="shared" si="9"/>
        <v>#VALUE!</v>
      </c>
      <c r="O18" s="34" t="e">
        <f t="shared" si="1"/>
        <v>#VALUE!</v>
      </c>
      <c r="P18" s="2" t="e">
        <f t="shared" si="2"/>
        <v>#VALUE!</v>
      </c>
      <c r="Q18" s="2" t="e">
        <f t="shared" si="10"/>
        <v>#VALUE!</v>
      </c>
      <c r="R18" s="2" t="e">
        <f t="shared" si="11"/>
        <v>#VALUE!</v>
      </c>
      <c r="S18" s="2" t="str">
        <f t="shared" si="12"/>
        <v>N</v>
      </c>
      <c r="T18" s="2" t="b">
        <f t="shared" si="3"/>
        <v>0</v>
      </c>
      <c r="U18" s="2" t="b">
        <f t="shared" si="13"/>
        <v>0</v>
      </c>
      <c r="V18" s="2" t="b">
        <f t="shared" si="4"/>
        <v>0</v>
      </c>
      <c r="Y18" s="3" t="str">
        <f t="shared" si="14"/>
        <v xml:space="preserve">4-Week Throughput Average: </v>
      </c>
      <c r="Z18" s="42" t="e">
        <f t="shared" si="15"/>
        <v>#N/A</v>
      </c>
      <c r="AA18" s="3" t="str">
        <f t="shared" si="16"/>
        <v xml:space="preserve">4-Week Throughput Average at 12/06/19 : </v>
      </c>
      <c r="AB18" s="2" t="e">
        <f t="shared" si="17"/>
        <v>#VALUE!</v>
      </c>
      <c r="AC18" s="2" t="e">
        <f t="shared" si="18"/>
        <v>#VALUE!</v>
      </c>
      <c r="AD18" s="2" t="str">
        <f t="shared" si="19"/>
        <v>Projected Duration</v>
      </c>
      <c r="AF18" s="2" t="str">
        <f t="shared" si="20"/>
        <v>Budget Duration</v>
      </c>
      <c r="AH18" s="2" t="str">
        <f t="shared" si="21"/>
        <v>4-week Average Growth : 0</v>
      </c>
      <c r="AJ18" s="2" t="str">
        <f t="shared" si="22"/>
        <v xml:space="preserve">4-week Average Growth at 12/06/2019 : </v>
      </c>
    </row>
    <row r="19" spans="1:36" ht="78" x14ac:dyDescent="0.3">
      <c r="A19" s="34">
        <v>43812</v>
      </c>
      <c r="B19" s="4"/>
      <c r="C19" s="5" t="str">
        <f t="shared" si="25"/>
        <v/>
      </c>
      <c r="D19" s="4" t="str">
        <f t="shared" si="5"/>
        <v/>
      </c>
      <c r="E19" s="4">
        <f t="shared" si="23"/>
        <v>80</v>
      </c>
      <c r="F19" s="34" t="e">
        <f t="shared" si="24"/>
        <v>#VALUE!</v>
      </c>
      <c r="G19" s="4" t="str">
        <f t="shared" si="0"/>
        <v/>
      </c>
      <c r="H19" s="5" t="str">
        <f t="shared" si="26"/>
        <v/>
      </c>
      <c r="I19" s="4"/>
      <c r="J19" s="2" t="str">
        <f t="shared" si="6"/>
        <v/>
      </c>
      <c r="K19" s="24" t="e">
        <f t="shared" si="7"/>
        <v>#VALUE!</v>
      </c>
      <c r="L19" s="24" t="e">
        <f t="shared" si="8"/>
        <v>#VALUE!</v>
      </c>
      <c r="M19" s="24" t="e">
        <f t="shared" si="9"/>
        <v>#VALUE!</v>
      </c>
      <c r="O19" s="34" t="e">
        <f t="shared" si="1"/>
        <v>#VALUE!</v>
      </c>
      <c r="P19" s="2" t="e">
        <f t="shared" si="2"/>
        <v>#VALUE!</v>
      </c>
      <c r="Q19" s="2" t="e">
        <f t="shared" si="10"/>
        <v>#VALUE!</v>
      </c>
      <c r="R19" s="2" t="e">
        <f t="shared" si="11"/>
        <v>#VALUE!</v>
      </c>
      <c r="S19" s="2" t="str">
        <f t="shared" si="12"/>
        <v>N</v>
      </c>
      <c r="T19" s="2" t="b">
        <f t="shared" si="3"/>
        <v>0</v>
      </c>
      <c r="U19" s="2" t="b">
        <f t="shared" si="13"/>
        <v>0</v>
      </c>
      <c r="V19" s="2" t="b">
        <f t="shared" si="4"/>
        <v>0</v>
      </c>
      <c r="Y19" s="3" t="str">
        <f t="shared" si="14"/>
        <v xml:space="preserve">4-Week Throughput Average: </v>
      </c>
      <c r="Z19" s="42" t="e">
        <f t="shared" si="15"/>
        <v>#N/A</v>
      </c>
      <c r="AA19" s="3" t="str">
        <f t="shared" si="16"/>
        <v xml:space="preserve">4-Week Throughput Average at 12/13/19 : </v>
      </c>
      <c r="AB19" s="2" t="e">
        <f t="shared" si="17"/>
        <v>#VALUE!</v>
      </c>
      <c r="AC19" s="2" t="e">
        <f t="shared" si="18"/>
        <v>#VALUE!</v>
      </c>
      <c r="AD19" s="2" t="str">
        <f t="shared" si="19"/>
        <v>Projected Duration</v>
      </c>
      <c r="AF19" s="2" t="str">
        <f t="shared" si="20"/>
        <v>Budget Duration</v>
      </c>
      <c r="AH19" s="2" t="str">
        <f t="shared" si="21"/>
        <v>4-week Average Growth : 0</v>
      </c>
      <c r="AJ19" s="2" t="str">
        <f t="shared" si="22"/>
        <v xml:space="preserve">4-week Average Growth at 12/13/2019 : </v>
      </c>
    </row>
    <row r="20" spans="1:36" x14ac:dyDescent="0.25">
      <c r="A20" s="34">
        <v>43819</v>
      </c>
      <c r="B20" s="4"/>
      <c r="C20" s="5" t="str">
        <f t="shared" si="25"/>
        <v/>
      </c>
      <c r="D20" s="4" t="str">
        <f t="shared" si="5"/>
        <v/>
      </c>
      <c r="E20" s="4">
        <f t="shared" si="23"/>
        <v>80</v>
      </c>
      <c r="F20" s="34" t="e">
        <f t="shared" si="24"/>
        <v>#VALUE!</v>
      </c>
      <c r="G20" s="4" t="str">
        <f t="shared" si="0"/>
        <v/>
      </c>
      <c r="H20" s="5" t="str">
        <f t="shared" si="26"/>
        <v/>
      </c>
      <c r="I20" s="4"/>
      <c r="J20" s="2" t="str">
        <f t="shared" si="6"/>
        <v/>
      </c>
      <c r="K20" s="24" t="e">
        <f t="shared" si="7"/>
        <v>#VALUE!</v>
      </c>
      <c r="L20" s="24" t="e">
        <f t="shared" si="8"/>
        <v>#VALUE!</v>
      </c>
      <c r="M20" s="24" t="e">
        <f t="shared" si="9"/>
        <v>#VALUE!</v>
      </c>
      <c r="O20" s="34" t="e">
        <f t="shared" si="1"/>
        <v>#VALUE!</v>
      </c>
      <c r="P20" s="2" t="e">
        <f t="shared" si="2"/>
        <v>#VALUE!</v>
      </c>
      <c r="Q20" s="2" t="e">
        <f t="shared" si="10"/>
        <v>#VALUE!</v>
      </c>
      <c r="R20" s="2" t="e">
        <f t="shared" si="11"/>
        <v>#VALUE!</v>
      </c>
      <c r="S20" s="2" t="str">
        <f t="shared" si="12"/>
        <v>N</v>
      </c>
      <c r="T20" s="2" t="b">
        <f t="shared" si="3"/>
        <v>0</v>
      </c>
      <c r="U20" s="2" t="b">
        <f t="shared" si="13"/>
        <v>0</v>
      </c>
      <c r="V20" s="2" t="b">
        <f t="shared" si="4"/>
        <v>0</v>
      </c>
    </row>
    <row r="21" spans="1:36" x14ac:dyDescent="0.25">
      <c r="A21" s="34">
        <v>43826</v>
      </c>
      <c r="B21" s="4"/>
      <c r="C21" s="5" t="str">
        <f t="shared" si="25"/>
        <v/>
      </c>
      <c r="D21" s="4" t="str">
        <f t="shared" si="5"/>
        <v/>
      </c>
      <c r="E21" s="4">
        <f t="shared" si="23"/>
        <v>80</v>
      </c>
      <c r="F21" s="34" t="e">
        <f t="shared" si="24"/>
        <v>#VALUE!</v>
      </c>
      <c r="G21" s="4" t="str">
        <f t="shared" si="0"/>
        <v/>
      </c>
      <c r="H21" s="5" t="str">
        <f t="shared" si="26"/>
        <v/>
      </c>
      <c r="I21" s="4"/>
      <c r="J21" s="2" t="str">
        <f t="shared" si="6"/>
        <v/>
      </c>
      <c r="K21" s="24" t="e">
        <f t="shared" si="7"/>
        <v>#VALUE!</v>
      </c>
      <c r="L21" s="24" t="e">
        <f t="shared" si="8"/>
        <v>#VALUE!</v>
      </c>
      <c r="M21" s="24" t="e">
        <f t="shared" si="9"/>
        <v>#VALUE!</v>
      </c>
      <c r="O21" s="34" t="e">
        <f t="shared" si="1"/>
        <v>#VALUE!</v>
      </c>
      <c r="P21" s="2" t="e">
        <f t="shared" si="2"/>
        <v>#VALUE!</v>
      </c>
      <c r="Q21" s="2" t="e">
        <f t="shared" si="10"/>
        <v>#VALUE!</v>
      </c>
      <c r="R21" s="2" t="e">
        <f t="shared" si="11"/>
        <v>#VALUE!</v>
      </c>
      <c r="S21" s="2" t="str">
        <f t="shared" si="12"/>
        <v>N</v>
      </c>
      <c r="T21" s="2" t="b">
        <f t="shared" si="3"/>
        <v>0</v>
      </c>
      <c r="U21" s="2" t="b">
        <f t="shared" si="13"/>
        <v>0</v>
      </c>
      <c r="V21" s="2" t="b">
        <f t="shared" si="4"/>
        <v>0</v>
      </c>
    </row>
    <row r="22" spans="1:36" x14ac:dyDescent="0.25">
      <c r="A22" s="34">
        <v>43833</v>
      </c>
      <c r="B22" s="4"/>
      <c r="C22" s="5" t="str">
        <f t="shared" si="25"/>
        <v/>
      </c>
      <c r="D22" s="4" t="str">
        <f t="shared" si="5"/>
        <v/>
      </c>
      <c r="E22" s="4">
        <f t="shared" si="23"/>
        <v>80</v>
      </c>
      <c r="F22" s="34" t="e">
        <f t="shared" si="24"/>
        <v>#VALUE!</v>
      </c>
      <c r="G22" s="4" t="str">
        <f t="shared" si="0"/>
        <v/>
      </c>
      <c r="H22" s="5" t="str">
        <f t="shared" si="26"/>
        <v/>
      </c>
      <c r="I22" s="4"/>
      <c r="J22" s="2" t="str">
        <f t="shared" si="6"/>
        <v/>
      </c>
      <c r="K22" s="24" t="e">
        <f t="shared" si="7"/>
        <v>#VALUE!</v>
      </c>
      <c r="L22" s="24" t="e">
        <f t="shared" si="8"/>
        <v>#VALUE!</v>
      </c>
      <c r="M22" s="24" t="e">
        <f t="shared" si="9"/>
        <v>#VALUE!</v>
      </c>
      <c r="O22" s="34" t="e">
        <f t="shared" si="1"/>
        <v>#VALUE!</v>
      </c>
      <c r="P22" s="2" t="e">
        <f t="shared" si="2"/>
        <v>#VALUE!</v>
      </c>
      <c r="Q22" s="2" t="e">
        <f t="shared" si="10"/>
        <v>#VALUE!</v>
      </c>
      <c r="R22" s="2" t="e">
        <f t="shared" si="11"/>
        <v>#VALUE!</v>
      </c>
      <c r="S22" s="2" t="str">
        <f t="shared" si="12"/>
        <v>N</v>
      </c>
      <c r="T22" s="2" t="b">
        <f t="shared" si="3"/>
        <v>0</v>
      </c>
      <c r="U22" s="2" t="b">
        <f t="shared" si="13"/>
        <v>0</v>
      </c>
      <c r="V22" s="2" t="b">
        <f t="shared" si="4"/>
        <v>0</v>
      </c>
    </row>
    <row r="23" spans="1:36" x14ac:dyDescent="0.25">
      <c r="A23" s="34">
        <v>43840</v>
      </c>
      <c r="B23" s="4"/>
      <c r="C23" s="5" t="str">
        <f t="shared" si="25"/>
        <v/>
      </c>
      <c r="D23" s="4" t="str">
        <f t="shared" si="5"/>
        <v/>
      </c>
      <c r="E23" s="4">
        <f t="shared" si="23"/>
        <v>80</v>
      </c>
      <c r="F23" s="34" t="e">
        <f t="shared" si="24"/>
        <v>#VALUE!</v>
      </c>
      <c r="G23" s="4" t="str">
        <f t="shared" si="0"/>
        <v/>
      </c>
      <c r="H23" s="5" t="str">
        <f t="shared" si="26"/>
        <v/>
      </c>
      <c r="I23" s="4"/>
      <c r="J23" s="2" t="str">
        <f t="shared" si="6"/>
        <v/>
      </c>
      <c r="K23" s="24" t="e">
        <f t="shared" si="7"/>
        <v>#VALUE!</v>
      </c>
      <c r="L23" s="24" t="e">
        <f t="shared" si="8"/>
        <v>#VALUE!</v>
      </c>
      <c r="M23" s="24" t="e">
        <f t="shared" si="9"/>
        <v>#VALUE!</v>
      </c>
      <c r="O23" s="34" t="e">
        <f t="shared" si="1"/>
        <v>#VALUE!</v>
      </c>
      <c r="P23" s="2" t="e">
        <f t="shared" si="2"/>
        <v>#VALUE!</v>
      </c>
      <c r="Q23" s="2" t="e">
        <f t="shared" si="10"/>
        <v>#VALUE!</v>
      </c>
      <c r="R23" s="2" t="e">
        <f t="shared" si="11"/>
        <v>#VALUE!</v>
      </c>
      <c r="S23" s="2" t="str">
        <f t="shared" si="12"/>
        <v>N</v>
      </c>
      <c r="T23" s="2" t="b">
        <f t="shared" si="3"/>
        <v>0</v>
      </c>
      <c r="U23" s="2" t="b">
        <f t="shared" si="13"/>
        <v>0</v>
      </c>
      <c r="V23" s="2" t="b">
        <f t="shared" si="4"/>
        <v>0</v>
      </c>
    </row>
    <row r="24" spans="1:36" ht="15.75" customHeight="1" x14ac:dyDescent="0.25">
      <c r="A24" s="34">
        <v>43847</v>
      </c>
      <c r="B24" s="4"/>
      <c r="C24" s="5" t="str">
        <f t="shared" si="25"/>
        <v/>
      </c>
      <c r="D24" s="4" t="str">
        <f t="shared" si="5"/>
        <v/>
      </c>
      <c r="E24" s="4">
        <f t="shared" si="23"/>
        <v>80</v>
      </c>
      <c r="F24" s="34" t="e">
        <f t="shared" si="24"/>
        <v>#VALUE!</v>
      </c>
      <c r="G24" s="39" t="str">
        <f t="shared" si="0"/>
        <v/>
      </c>
      <c r="H24" s="40" t="str">
        <f t="shared" si="26"/>
        <v/>
      </c>
      <c r="I24" s="4"/>
      <c r="J24" s="2" t="str">
        <f t="shared" si="6"/>
        <v/>
      </c>
      <c r="K24" s="24" t="e">
        <f t="shared" si="7"/>
        <v>#VALUE!</v>
      </c>
      <c r="L24" s="24" t="e">
        <f t="shared" si="8"/>
        <v>#VALUE!</v>
      </c>
      <c r="M24" s="24" t="e">
        <f t="shared" si="9"/>
        <v>#VALUE!</v>
      </c>
      <c r="O24" s="34" t="e">
        <f t="shared" si="1"/>
        <v>#VALUE!</v>
      </c>
      <c r="P24" s="2" t="e">
        <f t="shared" si="2"/>
        <v>#VALUE!</v>
      </c>
      <c r="Q24" s="2" t="e">
        <f t="shared" si="10"/>
        <v>#VALUE!</v>
      </c>
      <c r="R24" s="2" t="e">
        <f t="shared" si="11"/>
        <v>#VALUE!</v>
      </c>
      <c r="S24" s="2" t="str">
        <f t="shared" si="12"/>
        <v>N</v>
      </c>
      <c r="T24" s="2" t="b">
        <f t="shared" si="3"/>
        <v>0</v>
      </c>
      <c r="U24" s="2" t="b">
        <f t="shared" si="13"/>
        <v>0</v>
      </c>
      <c r="V24" s="2" t="b">
        <f>ISNUMBER(O24)</f>
        <v>0</v>
      </c>
    </row>
    <row r="25" spans="1:36" x14ac:dyDescent="0.25">
      <c r="A25" s="34">
        <v>43854</v>
      </c>
      <c r="B25" s="4"/>
      <c r="C25" s="5" t="str">
        <f t="shared" si="25"/>
        <v/>
      </c>
      <c r="D25" s="4" t="str">
        <f t="shared" si="5"/>
        <v/>
      </c>
      <c r="E25" s="4">
        <f t="shared" si="23"/>
        <v>80</v>
      </c>
      <c r="F25" s="34" t="e">
        <f t="shared" si="24"/>
        <v>#VALUE!</v>
      </c>
      <c r="G25" s="4" t="str">
        <f t="shared" si="0"/>
        <v/>
      </c>
      <c r="H25" s="5" t="str">
        <f t="shared" si="26"/>
        <v/>
      </c>
      <c r="I25" s="4"/>
      <c r="J25" s="2" t="str">
        <f t="shared" si="6"/>
        <v/>
      </c>
      <c r="K25" s="24" t="e">
        <f t="shared" si="7"/>
        <v>#VALUE!</v>
      </c>
      <c r="L25" s="24" t="e">
        <f t="shared" si="8"/>
        <v>#VALUE!</v>
      </c>
      <c r="M25" s="24" t="e">
        <f t="shared" si="9"/>
        <v>#VALUE!</v>
      </c>
      <c r="O25" s="34" t="e">
        <f t="shared" si="1"/>
        <v>#VALUE!</v>
      </c>
      <c r="P25" s="2" t="e">
        <f t="shared" si="2"/>
        <v>#VALUE!</v>
      </c>
      <c r="Q25" s="2" t="e">
        <f t="shared" si="10"/>
        <v>#VALUE!</v>
      </c>
      <c r="R25" s="2" t="e">
        <f t="shared" si="11"/>
        <v>#VALUE!</v>
      </c>
      <c r="S25" s="2" t="str">
        <f t="shared" si="12"/>
        <v>N</v>
      </c>
      <c r="T25" s="2" t="b">
        <f t="shared" si="3"/>
        <v>0</v>
      </c>
      <c r="U25" s="2" t="b">
        <f t="shared" si="13"/>
        <v>0</v>
      </c>
      <c r="V25" s="2" t="b">
        <f t="shared" ref="V25:V30" si="27">ISNUMBER(O25)</f>
        <v>0</v>
      </c>
    </row>
    <row r="26" spans="1:36" x14ac:dyDescent="0.25">
      <c r="A26" s="34">
        <v>43861</v>
      </c>
      <c r="B26" s="4"/>
      <c r="C26" s="5" t="str">
        <f t="shared" si="25"/>
        <v/>
      </c>
      <c r="D26" s="4" t="str">
        <f t="shared" si="5"/>
        <v/>
      </c>
      <c r="E26" s="4">
        <f t="shared" si="23"/>
        <v>80</v>
      </c>
      <c r="F26" s="34" t="e">
        <f t="shared" si="24"/>
        <v>#VALUE!</v>
      </c>
      <c r="G26" s="39" t="str">
        <f t="shared" si="0"/>
        <v/>
      </c>
      <c r="H26" s="40" t="str">
        <f t="shared" si="26"/>
        <v/>
      </c>
      <c r="I26" s="4"/>
      <c r="J26" s="2" t="str">
        <f t="shared" si="6"/>
        <v/>
      </c>
      <c r="K26" s="24" t="e">
        <f t="shared" si="7"/>
        <v>#VALUE!</v>
      </c>
      <c r="L26" s="24" t="e">
        <f t="shared" si="8"/>
        <v>#VALUE!</v>
      </c>
      <c r="M26" s="24" t="e">
        <f t="shared" si="9"/>
        <v>#VALUE!</v>
      </c>
      <c r="O26" s="34" t="e">
        <f t="shared" si="1"/>
        <v>#VALUE!</v>
      </c>
      <c r="P26" s="2" t="e">
        <f t="shared" si="2"/>
        <v>#VALUE!</v>
      </c>
      <c r="Q26" s="2" t="e">
        <f t="shared" si="10"/>
        <v>#VALUE!</v>
      </c>
      <c r="R26" s="2" t="e">
        <f t="shared" si="11"/>
        <v>#VALUE!</v>
      </c>
      <c r="S26" s="2" t="str">
        <f t="shared" si="12"/>
        <v>N</v>
      </c>
      <c r="T26" s="2" t="b">
        <f t="shared" si="3"/>
        <v>0</v>
      </c>
      <c r="U26" s="2" t="b">
        <f t="shared" si="13"/>
        <v>0</v>
      </c>
      <c r="V26" s="2" t="b">
        <f t="shared" si="27"/>
        <v>0</v>
      </c>
    </row>
    <row r="27" spans="1:36" ht="14.25" customHeight="1" x14ac:dyDescent="0.25">
      <c r="A27" s="34">
        <v>43868</v>
      </c>
      <c r="B27" s="4"/>
      <c r="C27" s="5" t="str">
        <f t="shared" si="25"/>
        <v/>
      </c>
      <c r="D27" s="4" t="str">
        <f t="shared" si="5"/>
        <v/>
      </c>
      <c r="E27" s="4">
        <f t="shared" si="23"/>
        <v>80</v>
      </c>
      <c r="F27" s="34" t="e">
        <f t="shared" si="24"/>
        <v>#VALUE!</v>
      </c>
      <c r="G27" s="4" t="str">
        <f t="shared" si="0"/>
        <v/>
      </c>
      <c r="H27" s="5" t="str">
        <f t="shared" si="26"/>
        <v/>
      </c>
      <c r="I27" s="4"/>
      <c r="J27" s="2" t="str">
        <f t="shared" si="6"/>
        <v/>
      </c>
      <c r="K27" s="24" t="e">
        <f t="shared" si="7"/>
        <v>#VALUE!</v>
      </c>
      <c r="L27" s="24" t="e">
        <f t="shared" si="8"/>
        <v>#VALUE!</v>
      </c>
      <c r="M27" s="24" t="e">
        <f t="shared" si="9"/>
        <v>#VALUE!</v>
      </c>
      <c r="O27" s="34" t="e">
        <f t="shared" si="1"/>
        <v>#VALUE!</v>
      </c>
      <c r="P27" s="2" t="e">
        <f t="shared" si="2"/>
        <v>#VALUE!</v>
      </c>
      <c r="Q27" s="2" t="e">
        <f t="shared" si="10"/>
        <v>#VALUE!</v>
      </c>
      <c r="R27" s="2" t="e">
        <f t="shared" si="11"/>
        <v>#VALUE!</v>
      </c>
      <c r="S27" s="2" t="str">
        <f t="shared" si="12"/>
        <v>N</v>
      </c>
      <c r="T27" s="2" t="b">
        <f t="shared" si="3"/>
        <v>0</v>
      </c>
      <c r="U27" s="2" t="b">
        <f t="shared" si="13"/>
        <v>0</v>
      </c>
      <c r="V27" s="2" t="b">
        <f t="shared" si="27"/>
        <v>0</v>
      </c>
    </row>
    <row r="28" spans="1:36" x14ac:dyDescent="0.25">
      <c r="A28" s="34">
        <v>43875</v>
      </c>
      <c r="B28" s="4"/>
      <c r="C28" s="5" t="str">
        <f t="shared" si="25"/>
        <v/>
      </c>
      <c r="D28" s="4" t="str">
        <f t="shared" si="5"/>
        <v/>
      </c>
      <c r="E28" s="4">
        <f t="shared" si="23"/>
        <v>80</v>
      </c>
      <c r="F28" s="34" t="e">
        <f t="shared" si="24"/>
        <v>#VALUE!</v>
      </c>
      <c r="G28" s="4" t="str">
        <f t="shared" si="0"/>
        <v/>
      </c>
      <c r="H28" s="5" t="str">
        <f t="shared" si="26"/>
        <v/>
      </c>
      <c r="I28" s="4"/>
      <c r="J28" s="2" t="str">
        <f t="shared" si="6"/>
        <v/>
      </c>
      <c r="K28" s="24" t="e">
        <f t="shared" si="7"/>
        <v>#VALUE!</v>
      </c>
      <c r="L28" s="24" t="e">
        <f t="shared" si="8"/>
        <v>#VALUE!</v>
      </c>
      <c r="M28" s="24" t="e">
        <f t="shared" si="9"/>
        <v>#VALUE!</v>
      </c>
      <c r="O28" s="34" t="e">
        <f t="shared" si="1"/>
        <v>#VALUE!</v>
      </c>
      <c r="P28" s="2" t="e">
        <f t="shared" si="2"/>
        <v>#VALUE!</v>
      </c>
      <c r="Q28" s="2" t="e">
        <f t="shared" si="10"/>
        <v>#VALUE!</v>
      </c>
      <c r="R28" s="2" t="e">
        <f t="shared" si="11"/>
        <v>#VALUE!</v>
      </c>
      <c r="S28" s="2" t="str">
        <f t="shared" si="12"/>
        <v>N</v>
      </c>
      <c r="T28" s="2" t="b">
        <f t="shared" si="3"/>
        <v>0</v>
      </c>
      <c r="U28" s="2" t="b">
        <f t="shared" si="13"/>
        <v>0</v>
      </c>
      <c r="V28" s="2" t="b">
        <f t="shared" si="27"/>
        <v>0</v>
      </c>
    </row>
    <row r="29" spans="1:36" x14ac:dyDescent="0.25">
      <c r="A29" s="34">
        <v>43882</v>
      </c>
      <c r="B29" s="4"/>
      <c r="C29" s="5" t="str">
        <f t="shared" si="25"/>
        <v/>
      </c>
      <c r="D29" s="4" t="str">
        <f t="shared" si="5"/>
        <v/>
      </c>
      <c r="E29" s="4">
        <f t="shared" si="23"/>
        <v>80</v>
      </c>
      <c r="F29" s="34" t="e">
        <f t="shared" si="24"/>
        <v>#VALUE!</v>
      </c>
      <c r="G29" s="4" t="str">
        <f t="shared" si="0"/>
        <v/>
      </c>
      <c r="H29" s="5" t="str">
        <f t="shared" si="26"/>
        <v/>
      </c>
      <c r="I29" s="4"/>
      <c r="J29" s="2" t="str">
        <f t="shared" si="6"/>
        <v/>
      </c>
      <c r="K29" s="24" t="e">
        <f t="shared" si="7"/>
        <v>#VALUE!</v>
      </c>
      <c r="L29" s="24" t="e">
        <f t="shared" si="8"/>
        <v>#VALUE!</v>
      </c>
      <c r="M29" s="24" t="e">
        <f t="shared" si="9"/>
        <v>#VALUE!</v>
      </c>
      <c r="O29" s="34" t="e">
        <f t="shared" si="1"/>
        <v>#VALUE!</v>
      </c>
      <c r="P29" s="2" t="e">
        <f t="shared" si="2"/>
        <v>#VALUE!</v>
      </c>
      <c r="Q29" s="2" t="e">
        <f t="shared" si="10"/>
        <v>#VALUE!</v>
      </c>
      <c r="R29" s="2" t="e">
        <f t="shared" si="11"/>
        <v>#VALUE!</v>
      </c>
      <c r="S29" s="2" t="str">
        <f t="shared" si="12"/>
        <v>N</v>
      </c>
      <c r="T29" s="2" t="b">
        <f>ISBLANK(O29)</f>
        <v>0</v>
      </c>
      <c r="U29" s="2" t="b">
        <f t="shared" si="13"/>
        <v>0</v>
      </c>
      <c r="V29" s="2" t="b">
        <f t="shared" si="27"/>
        <v>0</v>
      </c>
    </row>
    <row r="30" spans="1:36" x14ac:dyDescent="0.25">
      <c r="A30" s="34">
        <v>43889</v>
      </c>
      <c r="B30" s="4"/>
      <c r="C30" s="5" t="str">
        <f t="shared" si="25"/>
        <v/>
      </c>
      <c r="D30" s="4" t="str">
        <f t="shared" si="5"/>
        <v/>
      </c>
      <c r="E30" s="4">
        <f t="shared" si="23"/>
        <v>80</v>
      </c>
      <c r="F30" s="34" t="e">
        <f t="shared" si="24"/>
        <v>#VALUE!</v>
      </c>
      <c r="G30" s="4" t="str">
        <f t="shared" si="0"/>
        <v/>
      </c>
      <c r="H30" s="5" t="str">
        <f t="shared" si="26"/>
        <v/>
      </c>
      <c r="I30" s="4"/>
      <c r="J30" s="2" t="str">
        <f t="shared" si="6"/>
        <v/>
      </c>
      <c r="K30" s="24" t="e">
        <f t="shared" si="7"/>
        <v>#VALUE!</v>
      </c>
      <c r="L30" s="24" t="e">
        <f t="shared" si="8"/>
        <v>#VALUE!</v>
      </c>
      <c r="M30" s="24" t="e">
        <f t="shared" si="9"/>
        <v>#VALUE!</v>
      </c>
      <c r="O30" s="34" t="e">
        <f t="shared" si="1"/>
        <v>#VALUE!</v>
      </c>
      <c r="P30" s="2" t="e">
        <f t="shared" si="2"/>
        <v>#VALUE!</v>
      </c>
      <c r="Q30" s="2" t="e">
        <f t="shared" si="10"/>
        <v>#VALUE!</v>
      </c>
      <c r="R30" s="2" t="e">
        <f t="shared" si="11"/>
        <v>#VALUE!</v>
      </c>
      <c r="S30" s="2" t="str">
        <f t="shared" si="12"/>
        <v>N</v>
      </c>
      <c r="T30" s="2" t="b">
        <f t="shared" ref="T30:T93" si="28">ISBLANK(O30)</f>
        <v>0</v>
      </c>
      <c r="U30" s="2" t="b">
        <f t="shared" si="13"/>
        <v>0</v>
      </c>
      <c r="V30" s="2" t="b">
        <f t="shared" si="27"/>
        <v>0</v>
      </c>
    </row>
    <row r="31" spans="1:36" x14ac:dyDescent="0.25">
      <c r="A31" s="34">
        <v>43896</v>
      </c>
      <c r="B31" s="4"/>
      <c r="C31" s="5" t="str">
        <f t="shared" si="25"/>
        <v/>
      </c>
      <c r="D31" s="4" t="str">
        <f t="shared" si="5"/>
        <v/>
      </c>
      <c r="E31" s="4">
        <f t="shared" si="23"/>
        <v>80</v>
      </c>
      <c r="F31" s="34" t="e">
        <f t="shared" si="24"/>
        <v>#VALUE!</v>
      </c>
      <c r="G31" s="39" t="str">
        <f t="shared" si="0"/>
        <v/>
      </c>
      <c r="H31" s="40" t="str">
        <f t="shared" si="26"/>
        <v/>
      </c>
      <c r="I31" s="4"/>
      <c r="J31" s="2" t="str">
        <f t="shared" si="6"/>
        <v/>
      </c>
      <c r="K31" s="24" t="e">
        <f t="shared" si="7"/>
        <v>#VALUE!</v>
      </c>
      <c r="L31" s="24" t="e">
        <f t="shared" si="8"/>
        <v>#VALUE!</v>
      </c>
      <c r="M31" s="24" t="e">
        <f t="shared" si="9"/>
        <v>#VALUE!</v>
      </c>
      <c r="O31" s="34" t="e">
        <f t="shared" si="1"/>
        <v>#VALUE!</v>
      </c>
      <c r="P31" s="2" t="e">
        <f t="shared" si="2"/>
        <v>#VALUE!</v>
      </c>
      <c r="Q31" s="2" t="e">
        <f t="shared" si="10"/>
        <v>#VALUE!</v>
      </c>
      <c r="R31" s="2" t="e">
        <f t="shared" si="11"/>
        <v>#VALUE!</v>
      </c>
      <c r="S31" s="2" t="str">
        <f t="shared" si="12"/>
        <v>N</v>
      </c>
      <c r="T31" s="2" t="b">
        <f t="shared" si="28"/>
        <v>0</v>
      </c>
      <c r="U31" s="2" t="b">
        <f t="shared" si="13"/>
        <v>0</v>
      </c>
      <c r="V31" s="2" t="b">
        <f>ISNUMBER(O31)</f>
        <v>0</v>
      </c>
    </row>
    <row r="32" spans="1:36" x14ac:dyDescent="0.25">
      <c r="A32" s="34">
        <v>43903</v>
      </c>
      <c r="B32" s="4"/>
      <c r="C32" s="5" t="str">
        <f t="shared" si="25"/>
        <v/>
      </c>
      <c r="D32" s="4" t="str">
        <f t="shared" si="5"/>
        <v/>
      </c>
      <c r="E32" s="4">
        <f t="shared" si="23"/>
        <v>80</v>
      </c>
      <c r="F32" s="34" t="e">
        <f t="shared" si="24"/>
        <v>#VALUE!</v>
      </c>
      <c r="G32" s="4" t="str">
        <f t="shared" si="0"/>
        <v/>
      </c>
      <c r="H32" s="5" t="str">
        <f t="shared" si="26"/>
        <v/>
      </c>
      <c r="I32" s="4"/>
      <c r="J32" s="2" t="str">
        <f t="shared" si="6"/>
        <v/>
      </c>
      <c r="K32" s="24" t="e">
        <f t="shared" si="7"/>
        <v>#VALUE!</v>
      </c>
      <c r="L32" s="24" t="e">
        <f t="shared" si="8"/>
        <v>#VALUE!</v>
      </c>
      <c r="M32" s="24" t="e">
        <f t="shared" si="9"/>
        <v>#VALUE!</v>
      </c>
      <c r="O32" s="34" t="e">
        <f t="shared" si="1"/>
        <v>#VALUE!</v>
      </c>
      <c r="P32" s="2" t="e">
        <f t="shared" si="2"/>
        <v>#VALUE!</v>
      </c>
      <c r="Q32" s="2" t="e">
        <f t="shared" si="10"/>
        <v>#VALUE!</v>
      </c>
      <c r="R32" s="2" t="e">
        <f t="shared" si="11"/>
        <v>#VALUE!</v>
      </c>
      <c r="S32" s="2" t="str">
        <f t="shared" si="12"/>
        <v>N</v>
      </c>
      <c r="T32" s="2" t="b">
        <f t="shared" si="28"/>
        <v>0</v>
      </c>
      <c r="U32" s="2" t="b">
        <f t="shared" si="13"/>
        <v>0</v>
      </c>
      <c r="V32" s="2" t="b">
        <f t="shared" ref="V32:V95" si="29">ISNUMBER(O32)</f>
        <v>0</v>
      </c>
    </row>
    <row r="33" spans="1:23" x14ac:dyDescent="0.25">
      <c r="A33" s="34">
        <v>43910</v>
      </c>
      <c r="B33" s="4"/>
      <c r="C33" s="5" t="str">
        <f t="shared" si="25"/>
        <v/>
      </c>
      <c r="D33" s="4" t="str">
        <f t="shared" si="5"/>
        <v/>
      </c>
      <c r="E33" s="4">
        <f t="shared" si="23"/>
        <v>80</v>
      </c>
      <c r="F33" s="34" t="e">
        <f t="shared" si="24"/>
        <v>#VALUE!</v>
      </c>
      <c r="G33" s="4" t="str">
        <f t="shared" si="0"/>
        <v/>
      </c>
      <c r="H33" s="5" t="str">
        <f t="shared" si="26"/>
        <v/>
      </c>
      <c r="I33" s="4"/>
      <c r="J33" s="2" t="str">
        <f t="shared" si="6"/>
        <v/>
      </c>
      <c r="K33" s="24" t="e">
        <f t="shared" si="7"/>
        <v>#VALUE!</v>
      </c>
      <c r="L33" s="24" t="e">
        <f t="shared" si="8"/>
        <v>#VALUE!</v>
      </c>
      <c r="M33" s="24" t="e">
        <f t="shared" si="9"/>
        <v>#VALUE!</v>
      </c>
      <c r="O33" s="34" t="e">
        <f t="shared" si="1"/>
        <v>#VALUE!</v>
      </c>
      <c r="P33" s="2" t="e">
        <f t="shared" si="2"/>
        <v>#VALUE!</v>
      </c>
      <c r="Q33" s="2" t="e">
        <f t="shared" si="10"/>
        <v>#VALUE!</v>
      </c>
      <c r="R33" s="2" t="e">
        <f t="shared" si="11"/>
        <v>#VALUE!</v>
      </c>
      <c r="S33" s="2" t="str">
        <f t="shared" si="12"/>
        <v>N</v>
      </c>
      <c r="T33" s="2" t="b">
        <f t="shared" si="28"/>
        <v>0</v>
      </c>
      <c r="U33" s="2" t="b">
        <f t="shared" si="13"/>
        <v>0</v>
      </c>
      <c r="V33" s="2" t="b">
        <f t="shared" si="29"/>
        <v>0</v>
      </c>
    </row>
    <row r="34" spans="1:23" x14ac:dyDescent="0.25">
      <c r="A34" s="34">
        <v>43917</v>
      </c>
      <c r="B34" s="4"/>
      <c r="C34" s="5" t="str">
        <f t="shared" si="25"/>
        <v/>
      </c>
      <c r="D34" s="4" t="str">
        <f t="shared" si="5"/>
        <v/>
      </c>
      <c r="E34" s="4">
        <f t="shared" si="23"/>
        <v>80</v>
      </c>
      <c r="F34" s="34" t="e">
        <f t="shared" si="24"/>
        <v>#VALUE!</v>
      </c>
      <c r="G34" s="4" t="str">
        <f t="shared" si="0"/>
        <v/>
      </c>
      <c r="H34" s="5" t="str">
        <f t="shared" si="26"/>
        <v/>
      </c>
      <c r="I34" s="4"/>
      <c r="J34" s="2" t="str">
        <f t="shared" si="6"/>
        <v/>
      </c>
      <c r="K34" s="24" t="e">
        <f t="shared" si="7"/>
        <v>#VALUE!</v>
      </c>
      <c r="L34" s="24" t="e">
        <f t="shared" si="8"/>
        <v>#VALUE!</v>
      </c>
      <c r="M34" s="24" t="e">
        <f t="shared" si="9"/>
        <v>#VALUE!</v>
      </c>
      <c r="O34" s="34" t="e">
        <f t="shared" si="1"/>
        <v>#VALUE!</v>
      </c>
      <c r="P34" s="2" t="e">
        <f t="shared" si="2"/>
        <v>#VALUE!</v>
      </c>
      <c r="Q34" s="2" t="e">
        <f t="shared" si="10"/>
        <v>#VALUE!</v>
      </c>
      <c r="R34" s="2" t="e">
        <f t="shared" si="11"/>
        <v>#VALUE!</v>
      </c>
      <c r="S34" s="2" t="str">
        <f t="shared" si="12"/>
        <v>N</v>
      </c>
      <c r="T34" s="2" t="b">
        <f t="shared" si="28"/>
        <v>0</v>
      </c>
      <c r="U34" s="2" t="b">
        <f t="shared" si="13"/>
        <v>0</v>
      </c>
      <c r="V34" s="2" t="b">
        <f t="shared" si="29"/>
        <v>0</v>
      </c>
    </row>
    <row r="35" spans="1:23" x14ac:dyDescent="0.25">
      <c r="A35" s="34">
        <v>43924</v>
      </c>
      <c r="B35" s="4"/>
      <c r="C35" s="5" t="str">
        <f t="shared" si="25"/>
        <v/>
      </c>
      <c r="D35" s="4" t="str">
        <f t="shared" si="5"/>
        <v/>
      </c>
      <c r="E35" s="4">
        <f t="shared" si="23"/>
        <v>80</v>
      </c>
      <c r="F35" s="34" t="e">
        <f t="shared" si="24"/>
        <v>#VALUE!</v>
      </c>
      <c r="G35" s="4" t="str">
        <f t="shared" si="0"/>
        <v/>
      </c>
      <c r="H35" s="5" t="str">
        <f t="shared" si="26"/>
        <v/>
      </c>
      <c r="I35" s="4"/>
      <c r="J35" s="2" t="str">
        <f t="shared" si="6"/>
        <v/>
      </c>
      <c r="K35" s="24" t="e">
        <f t="shared" si="7"/>
        <v>#VALUE!</v>
      </c>
      <c r="L35" s="24" t="e">
        <f t="shared" si="8"/>
        <v>#VALUE!</v>
      </c>
      <c r="M35" s="24" t="e">
        <f t="shared" si="9"/>
        <v>#VALUE!</v>
      </c>
      <c r="O35" s="34" t="e">
        <f t="shared" si="1"/>
        <v>#VALUE!</v>
      </c>
      <c r="P35" s="2" t="e">
        <f t="shared" si="2"/>
        <v>#VALUE!</v>
      </c>
      <c r="Q35" s="2" t="e">
        <f t="shared" si="10"/>
        <v>#VALUE!</v>
      </c>
      <c r="R35" s="2" t="e">
        <f t="shared" si="11"/>
        <v>#VALUE!</v>
      </c>
      <c r="S35" s="2" t="str">
        <f t="shared" si="12"/>
        <v>N</v>
      </c>
      <c r="T35" s="2" t="b">
        <f t="shared" si="28"/>
        <v>0</v>
      </c>
      <c r="U35" s="2" t="b">
        <f t="shared" si="13"/>
        <v>0</v>
      </c>
      <c r="V35" s="2" t="b">
        <f t="shared" si="29"/>
        <v>0</v>
      </c>
      <c r="W35" s="1"/>
    </row>
    <row r="36" spans="1:23" x14ac:dyDescent="0.25">
      <c r="A36" s="34">
        <v>43931</v>
      </c>
      <c r="B36" s="4"/>
      <c r="C36" s="5" t="str">
        <f t="shared" si="25"/>
        <v/>
      </c>
      <c r="D36" s="4" t="str">
        <f t="shared" si="5"/>
        <v/>
      </c>
      <c r="E36" s="4">
        <f t="shared" si="23"/>
        <v>80</v>
      </c>
      <c r="F36" s="34" t="e">
        <f t="shared" si="24"/>
        <v>#VALUE!</v>
      </c>
      <c r="G36" s="4" t="str">
        <f t="shared" si="0"/>
        <v/>
      </c>
      <c r="H36" s="5" t="str">
        <f t="shared" si="26"/>
        <v/>
      </c>
      <c r="I36" s="4"/>
      <c r="J36" s="2" t="str">
        <f t="shared" si="6"/>
        <v/>
      </c>
      <c r="K36" s="24" t="e">
        <f t="shared" si="7"/>
        <v>#VALUE!</v>
      </c>
      <c r="L36" s="24" t="e">
        <f t="shared" si="8"/>
        <v>#VALUE!</v>
      </c>
      <c r="M36" s="24" t="e">
        <f t="shared" si="9"/>
        <v>#VALUE!</v>
      </c>
      <c r="O36" s="34" t="e">
        <f t="shared" si="1"/>
        <v>#VALUE!</v>
      </c>
      <c r="P36" s="2" t="e">
        <f t="shared" si="2"/>
        <v>#VALUE!</v>
      </c>
      <c r="Q36" s="2" t="e">
        <f t="shared" si="10"/>
        <v>#VALUE!</v>
      </c>
      <c r="R36" s="2" t="e">
        <f t="shared" si="11"/>
        <v>#VALUE!</v>
      </c>
      <c r="S36" s="2" t="str">
        <f t="shared" si="12"/>
        <v>N</v>
      </c>
      <c r="T36" s="2" t="b">
        <f t="shared" si="28"/>
        <v>0</v>
      </c>
      <c r="U36" s="2" t="b">
        <f t="shared" si="13"/>
        <v>0</v>
      </c>
      <c r="V36" s="2" t="b">
        <f t="shared" si="29"/>
        <v>0</v>
      </c>
    </row>
    <row r="37" spans="1:23" x14ac:dyDescent="0.25">
      <c r="A37" s="34">
        <v>43938</v>
      </c>
      <c r="B37" s="4"/>
      <c r="C37" s="5" t="str">
        <f t="shared" si="25"/>
        <v/>
      </c>
      <c r="D37" s="4" t="str">
        <f t="shared" si="5"/>
        <v/>
      </c>
      <c r="E37" s="4">
        <f t="shared" si="23"/>
        <v>80</v>
      </c>
      <c r="F37" s="34" t="e">
        <f t="shared" si="24"/>
        <v>#VALUE!</v>
      </c>
      <c r="G37" s="4" t="str">
        <f t="shared" si="0"/>
        <v/>
      </c>
      <c r="H37" s="5" t="str">
        <f t="shared" si="26"/>
        <v/>
      </c>
      <c r="I37" s="4"/>
      <c r="J37" s="2" t="str">
        <f t="shared" si="6"/>
        <v/>
      </c>
      <c r="K37" s="24" t="e">
        <f t="shared" si="7"/>
        <v>#VALUE!</v>
      </c>
      <c r="L37" s="24" t="e">
        <f t="shared" si="8"/>
        <v>#VALUE!</v>
      </c>
      <c r="M37" s="24" t="e">
        <f t="shared" si="9"/>
        <v>#VALUE!</v>
      </c>
      <c r="O37" s="34" t="e">
        <f t="shared" si="1"/>
        <v>#VALUE!</v>
      </c>
      <c r="P37" s="2" t="e">
        <f t="shared" si="2"/>
        <v>#VALUE!</v>
      </c>
      <c r="Q37" s="2" t="e">
        <f t="shared" si="10"/>
        <v>#VALUE!</v>
      </c>
      <c r="R37" s="2" t="e">
        <f t="shared" si="11"/>
        <v>#VALUE!</v>
      </c>
      <c r="S37" s="2" t="str">
        <f t="shared" si="12"/>
        <v>N</v>
      </c>
      <c r="T37" s="2" t="b">
        <f t="shared" si="28"/>
        <v>0</v>
      </c>
      <c r="U37" s="2" t="b">
        <f t="shared" si="13"/>
        <v>0</v>
      </c>
      <c r="V37" s="2" t="b">
        <f t="shared" si="29"/>
        <v>0</v>
      </c>
    </row>
    <row r="38" spans="1:23" x14ac:dyDescent="0.25">
      <c r="A38" s="34">
        <v>43945</v>
      </c>
      <c r="B38" s="4"/>
      <c r="C38" s="5" t="str">
        <f t="shared" si="25"/>
        <v/>
      </c>
      <c r="D38" s="4" t="str">
        <f t="shared" si="5"/>
        <v/>
      </c>
      <c r="E38" s="4">
        <f t="shared" si="23"/>
        <v>80</v>
      </c>
      <c r="F38" s="34" t="e">
        <f t="shared" si="24"/>
        <v>#VALUE!</v>
      </c>
      <c r="G38" s="4" t="str">
        <f t="shared" si="0"/>
        <v/>
      </c>
      <c r="H38" s="5" t="str">
        <f t="shared" si="26"/>
        <v/>
      </c>
      <c r="I38" s="4"/>
      <c r="J38" s="2" t="str">
        <f t="shared" si="6"/>
        <v/>
      </c>
      <c r="K38" s="24" t="e">
        <f t="shared" si="7"/>
        <v>#VALUE!</v>
      </c>
      <c r="L38" s="24" t="e">
        <f t="shared" si="8"/>
        <v>#VALUE!</v>
      </c>
      <c r="M38" s="24" t="e">
        <f t="shared" si="9"/>
        <v>#VALUE!</v>
      </c>
      <c r="O38" s="34" t="e">
        <f t="shared" si="1"/>
        <v>#VALUE!</v>
      </c>
      <c r="P38" s="2" t="e">
        <f t="shared" si="2"/>
        <v>#VALUE!</v>
      </c>
      <c r="Q38" s="2" t="e">
        <f t="shared" si="10"/>
        <v>#VALUE!</v>
      </c>
      <c r="R38" s="2" t="e">
        <f t="shared" si="11"/>
        <v>#VALUE!</v>
      </c>
      <c r="S38" s="2" t="str">
        <f t="shared" si="12"/>
        <v>N</v>
      </c>
      <c r="T38" s="2" t="b">
        <f t="shared" si="28"/>
        <v>0</v>
      </c>
      <c r="U38" s="2" t="b">
        <f t="shared" si="13"/>
        <v>0</v>
      </c>
      <c r="V38" s="2" t="b">
        <f t="shared" si="29"/>
        <v>0</v>
      </c>
    </row>
    <row r="39" spans="1:23" x14ac:dyDescent="0.25">
      <c r="A39" s="34">
        <v>43952</v>
      </c>
      <c r="B39" s="4"/>
      <c r="C39" s="5" t="str">
        <f t="shared" si="25"/>
        <v/>
      </c>
      <c r="D39" s="4" t="str">
        <f t="shared" si="5"/>
        <v/>
      </c>
      <c r="E39" s="4">
        <f t="shared" si="23"/>
        <v>80</v>
      </c>
      <c r="F39" s="34" t="e">
        <f t="shared" si="24"/>
        <v>#VALUE!</v>
      </c>
      <c r="G39" s="4" t="str">
        <f t="shared" si="0"/>
        <v/>
      </c>
      <c r="H39" s="5" t="str">
        <f t="shared" si="26"/>
        <v/>
      </c>
      <c r="I39" s="4"/>
      <c r="J39" s="2" t="str">
        <f t="shared" si="6"/>
        <v/>
      </c>
      <c r="K39" s="24" t="e">
        <f t="shared" si="7"/>
        <v>#VALUE!</v>
      </c>
      <c r="L39" s="24" t="e">
        <f t="shared" si="8"/>
        <v>#VALUE!</v>
      </c>
      <c r="M39" s="24" t="e">
        <f t="shared" si="9"/>
        <v>#VALUE!</v>
      </c>
      <c r="O39" s="34" t="e">
        <f t="shared" si="1"/>
        <v>#VALUE!</v>
      </c>
      <c r="P39" s="2" t="e">
        <f t="shared" si="2"/>
        <v>#VALUE!</v>
      </c>
      <c r="Q39" s="2" t="e">
        <f t="shared" si="10"/>
        <v>#VALUE!</v>
      </c>
      <c r="R39" s="2" t="e">
        <f t="shared" si="11"/>
        <v>#VALUE!</v>
      </c>
      <c r="S39" s="2" t="str">
        <f t="shared" si="12"/>
        <v>N</v>
      </c>
      <c r="T39" s="2" t="b">
        <f t="shared" si="28"/>
        <v>0</v>
      </c>
      <c r="U39" s="2" t="b">
        <f t="shared" si="13"/>
        <v>0</v>
      </c>
      <c r="V39" s="2" t="b">
        <f t="shared" si="29"/>
        <v>0</v>
      </c>
    </row>
    <row r="40" spans="1:23" x14ac:dyDescent="0.25">
      <c r="A40" s="34">
        <v>43959</v>
      </c>
      <c r="B40" s="4"/>
      <c r="C40" s="5" t="str">
        <f t="shared" si="25"/>
        <v/>
      </c>
      <c r="D40" s="4" t="str">
        <f t="shared" si="5"/>
        <v/>
      </c>
      <c r="E40" s="4">
        <f t="shared" si="23"/>
        <v>80</v>
      </c>
      <c r="F40" s="34" t="e">
        <f t="shared" si="24"/>
        <v>#VALUE!</v>
      </c>
      <c r="G40" s="4" t="str">
        <f t="shared" si="0"/>
        <v/>
      </c>
      <c r="H40" s="5" t="str">
        <f t="shared" si="26"/>
        <v/>
      </c>
      <c r="I40" s="4"/>
      <c r="J40" s="2" t="str">
        <f t="shared" si="6"/>
        <v/>
      </c>
      <c r="K40" s="24" t="e">
        <f t="shared" si="7"/>
        <v>#VALUE!</v>
      </c>
      <c r="L40" s="24" t="e">
        <f t="shared" si="8"/>
        <v>#VALUE!</v>
      </c>
      <c r="M40" s="24" t="e">
        <f t="shared" si="9"/>
        <v>#VALUE!</v>
      </c>
      <c r="O40" s="34" t="e">
        <f t="shared" si="1"/>
        <v>#VALUE!</v>
      </c>
      <c r="P40" s="2" t="e">
        <f t="shared" si="2"/>
        <v>#VALUE!</v>
      </c>
      <c r="Q40" s="2" t="e">
        <f t="shared" si="10"/>
        <v>#VALUE!</v>
      </c>
      <c r="R40" s="2" t="e">
        <f t="shared" si="11"/>
        <v>#VALUE!</v>
      </c>
      <c r="S40" s="2" t="str">
        <f t="shared" si="12"/>
        <v>N</v>
      </c>
      <c r="T40" s="2" t="b">
        <f t="shared" si="28"/>
        <v>0</v>
      </c>
      <c r="U40" s="2" t="b">
        <f t="shared" si="13"/>
        <v>0</v>
      </c>
      <c r="V40" s="2" t="b">
        <f t="shared" si="29"/>
        <v>0</v>
      </c>
    </row>
    <row r="41" spans="1:23" x14ac:dyDescent="0.25">
      <c r="A41" s="34">
        <v>43966</v>
      </c>
      <c r="B41" s="4"/>
      <c r="C41" s="5" t="str">
        <f t="shared" si="25"/>
        <v/>
      </c>
      <c r="D41" s="4" t="str">
        <f t="shared" si="5"/>
        <v/>
      </c>
      <c r="E41" s="4">
        <f t="shared" si="23"/>
        <v>80</v>
      </c>
      <c r="F41" s="34" t="e">
        <f t="shared" si="24"/>
        <v>#VALUE!</v>
      </c>
      <c r="G41" s="4" t="str">
        <f t="shared" si="0"/>
        <v/>
      </c>
      <c r="H41" s="5" t="str">
        <f t="shared" si="26"/>
        <v/>
      </c>
      <c r="I41" s="4"/>
      <c r="J41" s="2" t="str">
        <f t="shared" si="6"/>
        <v/>
      </c>
      <c r="K41" s="24" t="e">
        <f t="shared" si="7"/>
        <v>#VALUE!</v>
      </c>
      <c r="L41" s="24" t="e">
        <f t="shared" si="8"/>
        <v>#VALUE!</v>
      </c>
      <c r="M41" s="24" t="e">
        <f t="shared" si="9"/>
        <v>#VALUE!</v>
      </c>
      <c r="O41" s="34" t="e">
        <f t="shared" si="1"/>
        <v>#VALUE!</v>
      </c>
      <c r="P41" s="2" t="e">
        <f t="shared" si="2"/>
        <v>#VALUE!</v>
      </c>
      <c r="Q41" s="2" t="e">
        <f t="shared" si="10"/>
        <v>#VALUE!</v>
      </c>
      <c r="R41" s="2" t="e">
        <f t="shared" si="11"/>
        <v>#VALUE!</v>
      </c>
      <c r="S41" s="2" t="str">
        <f t="shared" si="12"/>
        <v>N</v>
      </c>
      <c r="T41" s="2" t="b">
        <f t="shared" si="28"/>
        <v>0</v>
      </c>
      <c r="U41" s="2" t="b">
        <f t="shared" si="13"/>
        <v>0</v>
      </c>
      <c r="V41" s="2" t="b">
        <f t="shared" si="29"/>
        <v>0</v>
      </c>
    </row>
    <row r="42" spans="1:23" x14ac:dyDescent="0.25">
      <c r="A42" s="34">
        <v>43973</v>
      </c>
      <c r="B42" s="4"/>
      <c r="C42" s="5" t="str">
        <f t="shared" si="25"/>
        <v/>
      </c>
      <c r="D42" s="4" t="str">
        <f t="shared" si="5"/>
        <v/>
      </c>
      <c r="E42" s="4">
        <f t="shared" si="23"/>
        <v>80</v>
      </c>
      <c r="F42" s="34" t="e">
        <f t="shared" si="24"/>
        <v>#VALUE!</v>
      </c>
      <c r="G42" s="4" t="str">
        <f t="shared" si="0"/>
        <v/>
      </c>
      <c r="H42" s="5" t="str">
        <f t="shared" si="26"/>
        <v/>
      </c>
      <c r="I42" s="4"/>
      <c r="J42" s="2" t="str">
        <f t="shared" si="6"/>
        <v/>
      </c>
      <c r="K42" s="24" t="e">
        <f t="shared" si="7"/>
        <v>#VALUE!</v>
      </c>
      <c r="L42" s="24" t="e">
        <f t="shared" si="8"/>
        <v>#VALUE!</v>
      </c>
      <c r="M42" s="24" t="e">
        <f t="shared" si="9"/>
        <v>#VALUE!</v>
      </c>
      <c r="O42" s="34" t="e">
        <f t="shared" si="1"/>
        <v>#VALUE!</v>
      </c>
      <c r="P42" s="2" t="e">
        <f t="shared" si="2"/>
        <v>#VALUE!</v>
      </c>
      <c r="Q42" s="2" t="e">
        <f t="shared" si="10"/>
        <v>#VALUE!</v>
      </c>
      <c r="R42" s="2" t="e">
        <f t="shared" si="11"/>
        <v>#VALUE!</v>
      </c>
      <c r="S42" s="2" t="str">
        <f t="shared" si="12"/>
        <v>N</v>
      </c>
      <c r="T42" s="2" t="b">
        <f t="shared" si="28"/>
        <v>0</v>
      </c>
      <c r="U42" s="2" t="b">
        <f t="shared" si="13"/>
        <v>0</v>
      </c>
      <c r="V42" s="2" t="b">
        <f t="shared" si="29"/>
        <v>0</v>
      </c>
    </row>
    <row r="43" spans="1:23" x14ac:dyDescent="0.25">
      <c r="A43" s="34">
        <v>43980</v>
      </c>
      <c r="B43" s="4"/>
      <c r="C43" s="5" t="str">
        <f t="shared" si="25"/>
        <v/>
      </c>
      <c r="D43" s="4" t="str">
        <f t="shared" si="5"/>
        <v/>
      </c>
      <c r="E43" s="4">
        <f t="shared" si="23"/>
        <v>80</v>
      </c>
      <c r="F43" s="34" t="e">
        <f t="shared" si="24"/>
        <v>#VALUE!</v>
      </c>
      <c r="G43" s="4" t="str">
        <f t="shared" si="0"/>
        <v/>
      </c>
      <c r="H43" s="5" t="str">
        <f t="shared" si="26"/>
        <v/>
      </c>
      <c r="I43" s="4"/>
      <c r="J43" s="2" t="str">
        <f t="shared" si="6"/>
        <v/>
      </c>
      <c r="K43" s="24" t="e">
        <f t="shared" si="7"/>
        <v>#VALUE!</v>
      </c>
      <c r="L43" s="24" t="e">
        <f t="shared" si="8"/>
        <v>#VALUE!</v>
      </c>
      <c r="M43" s="24" t="e">
        <f t="shared" si="9"/>
        <v>#VALUE!</v>
      </c>
      <c r="O43" s="34" t="e">
        <f t="shared" si="1"/>
        <v>#VALUE!</v>
      </c>
      <c r="P43" s="2" t="e">
        <f t="shared" si="2"/>
        <v>#VALUE!</v>
      </c>
      <c r="Q43" s="2" t="e">
        <f t="shared" si="10"/>
        <v>#VALUE!</v>
      </c>
      <c r="R43" s="2" t="e">
        <f t="shared" si="11"/>
        <v>#VALUE!</v>
      </c>
      <c r="S43" s="2" t="str">
        <f t="shared" si="12"/>
        <v>N</v>
      </c>
      <c r="T43" s="2" t="b">
        <f t="shared" si="28"/>
        <v>0</v>
      </c>
      <c r="U43" s="2" t="b">
        <f t="shared" si="13"/>
        <v>0</v>
      </c>
      <c r="V43" s="2" t="b">
        <f t="shared" si="29"/>
        <v>0</v>
      </c>
    </row>
    <row r="44" spans="1:23" x14ac:dyDescent="0.25">
      <c r="A44" s="34">
        <v>43987</v>
      </c>
      <c r="B44" s="4"/>
      <c r="C44" s="5" t="str">
        <f t="shared" si="25"/>
        <v/>
      </c>
      <c r="D44" s="4" t="str">
        <f t="shared" si="5"/>
        <v/>
      </c>
      <c r="E44" s="4">
        <f t="shared" si="23"/>
        <v>80</v>
      </c>
      <c r="F44" s="34" t="e">
        <f t="shared" si="24"/>
        <v>#VALUE!</v>
      </c>
      <c r="G44" s="4" t="str">
        <f t="shared" si="0"/>
        <v/>
      </c>
      <c r="H44" s="5" t="str">
        <f t="shared" si="26"/>
        <v/>
      </c>
      <c r="I44" s="4"/>
      <c r="J44" s="2" t="str">
        <f t="shared" si="6"/>
        <v/>
      </c>
      <c r="K44" s="24" t="e">
        <f t="shared" si="7"/>
        <v>#VALUE!</v>
      </c>
      <c r="L44" s="24" t="e">
        <f t="shared" si="8"/>
        <v>#VALUE!</v>
      </c>
      <c r="M44" s="24" t="e">
        <f t="shared" si="9"/>
        <v>#VALUE!</v>
      </c>
      <c r="O44" s="34" t="e">
        <f t="shared" si="1"/>
        <v>#VALUE!</v>
      </c>
      <c r="P44" s="2" t="e">
        <f t="shared" si="2"/>
        <v>#VALUE!</v>
      </c>
      <c r="Q44" s="2" t="e">
        <f t="shared" si="10"/>
        <v>#VALUE!</v>
      </c>
      <c r="R44" s="2" t="e">
        <f t="shared" si="11"/>
        <v>#VALUE!</v>
      </c>
      <c r="S44" s="2" t="str">
        <f t="shared" si="12"/>
        <v>N</v>
      </c>
      <c r="T44" s="2" t="b">
        <f t="shared" si="28"/>
        <v>0</v>
      </c>
      <c r="U44" s="2" t="b">
        <f t="shared" si="13"/>
        <v>0</v>
      </c>
      <c r="V44" s="2" t="b">
        <f t="shared" si="29"/>
        <v>0</v>
      </c>
    </row>
    <row r="45" spans="1:23" x14ac:dyDescent="0.25">
      <c r="A45" s="34">
        <v>43994</v>
      </c>
      <c r="B45" s="4"/>
      <c r="C45" s="5" t="str">
        <f t="shared" si="25"/>
        <v/>
      </c>
      <c r="D45" s="4" t="str">
        <f t="shared" si="5"/>
        <v/>
      </c>
      <c r="E45" s="4">
        <f t="shared" si="23"/>
        <v>80</v>
      </c>
      <c r="F45" s="34" t="e">
        <f t="shared" si="24"/>
        <v>#VALUE!</v>
      </c>
      <c r="G45" s="4" t="str">
        <f t="shared" si="0"/>
        <v/>
      </c>
      <c r="H45" s="5" t="str">
        <f t="shared" si="26"/>
        <v/>
      </c>
      <c r="I45" s="4"/>
      <c r="J45" s="2" t="str">
        <f t="shared" si="6"/>
        <v/>
      </c>
      <c r="K45" s="24" t="e">
        <f t="shared" si="7"/>
        <v>#VALUE!</v>
      </c>
      <c r="L45" s="24" t="e">
        <f t="shared" si="8"/>
        <v>#VALUE!</v>
      </c>
      <c r="M45" s="24" t="e">
        <f t="shared" si="9"/>
        <v>#VALUE!</v>
      </c>
      <c r="O45" s="34" t="e">
        <f t="shared" si="1"/>
        <v>#VALUE!</v>
      </c>
      <c r="P45" s="2" t="e">
        <f t="shared" si="2"/>
        <v>#VALUE!</v>
      </c>
      <c r="Q45" s="2" t="e">
        <f t="shared" si="10"/>
        <v>#VALUE!</v>
      </c>
      <c r="R45" s="2" t="e">
        <f t="shared" si="11"/>
        <v>#VALUE!</v>
      </c>
      <c r="S45" s="2" t="str">
        <f t="shared" si="12"/>
        <v>N</v>
      </c>
      <c r="T45" s="2" t="b">
        <f t="shared" si="28"/>
        <v>0</v>
      </c>
      <c r="U45" s="2" t="b">
        <f t="shared" si="13"/>
        <v>0</v>
      </c>
      <c r="V45" s="2" t="b">
        <f t="shared" si="29"/>
        <v>0</v>
      </c>
    </row>
    <row r="46" spans="1:23" x14ac:dyDescent="0.25">
      <c r="A46" s="34">
        <v>44001</v>
      </c>
      <c r="B46" s="4"/>
      <c r="C46" s="5" t="str">
        <f t="shared" si="25"/>
        <v/>
      </c>
      <c r="D46" s="4" t="str">
        <f t="shared" si="5"/>
        <v/>
      </c>
      <c r="E46" s="4">
        <f t="shared" si="23"/>
        <v>80</v>
      </c>
      <c r="F46" s="34" t="e">
        <f t="shared" si="24"/>
        <v>#VALUE!</v>
      </c>
      <c r="G46" s="4" t="str">
        <f t="shared" si="0"/>
        <v/>
      </c>
      <c r="H46" s="5" t="str">
        <f t="shared" si="26"/>
        <v/>
      </c>
      <c r="I46" s="4"/>
      <c r="J46" s="2" t="str">
        <f t="shared" si="6"/>
        <v/>
      </c>
      <c r="K46" s="24" t="e">
        <f t="shared" si="7"/>
        <v>#VALUE!</v>
      </c>
      <c r="L46" s="24" t="e">
        <f t="shared" si="8"/>
        <v>#VALUE!</v>
      </c>
      <c r="M46" s="24" t="e">
        <f t="shared" si="9"/>
        <v>#VALUE!</v>
      </c>
      <c r="O46" s="34" t="e">
        <f t="shared" si="1"/>
        <v>#VALUE!</v>
      </c>
      <c r="P46" s="2" t="e">
        <f t="shared" si="2"/>
        <v>#VALUE!</v>
      </c>
      <c r="Q46" s="2" t="e">
        <f t="shared" si="10"/>
        <v>#VALUE!</v>
      </c>
      <c r="R46" s="2" t="e">
        <f t="shared" si="11"/>
        <v>#VALUE!</v>
      </c>
      <c r="S46" s="2" t="str">
        <f t="shared" si="12"/>
        <v>N</v>
      </c>
      <c r="T46" s="2" t="b">
        <f t="shared" si="28"/>
        <v>0</v>
      </c>
      <c r="U46" s="2" t="b">
        <f t="shared" si="13"/>
        <v>0</v>
      </c>
      <c r="V46" s="2" t="b">
        <f t="shared" si="29"/>
        <v>0</v>
      </c>
    </row>
    <row r="47" spans="1:23" x14ac:dyDescent="0.25">
      <c r="A47" s="34">
        <v>44008</v>
      </c>
      <c r="B47" s="4"/>
      <c r="C47" s="5" t="str">
        <f t="shared" si="25"/>
        <v/>
      </c>
      <c r="D47" s="4" t="str">
        <f t="shared" si="5"/>
        <v/>
      </c>
      <c r="E47" s="4">
        <f t="shared" si="23"/>
        <v>80</v>
      </c>
      <c r="F47" s="34" t="e">
        <f t="shared" si="24"/>
        <v>#VALUE!</v>
      </c>
      <c r="G47" s="4" t="str">
        <f t="shared" si="0"/>
        <v/>
      </c>
      <c r="H47" s="5" t="str">
        <f t="shared" si="26"/>
        <v/>
      </c>
      <c r="I47" s="4"/>
      <c r="J47" s="2" t="str">
        <f t="shared" si="6"/>
        <v/>
      </c>
      <c r="K47" s="24" t="e">
        <f t="shared" si="7"/>
        <v>#VALUE!</v>
      </c>
      <c r="L47" s="24" t="e">
        <f t="shared" si="8"/>
        <v>#VALUE!</v>
      </c>
      <c r="M47" s="24" t="e">
        <f t="shared" si="9"/>
        <v>#VALUE!</v>
      </c>
      <c r="O47" s="34" t="e">
        <f t="shared" si="1"/>
        <v>#VALUE!</v>
      </c>
      <c r="P47" s="2" t="e">
        <f t="shared" si="2"/>
        <v>#VALUE!</v>
      </c>
      <c r="Q47" s="2" t="e">
        <f t="shared" si="10"/>
        <v>#VALUE!</v>
      </c>
      <c r="R47" s="2" t="e">
        <f t="shared" si="11"/>
        <v>#VALUE!</v>
      </c>
      <c r="S47" s="2" t="str">
        <f t="shared" si="12"/>
        <v>N</v>
      </c>
      <c r="T47" s="2" t="b">
        <f t="shared" si="28"/>
        <v>0</v>
      </c>
      <c r="U47" s="2" t="b">
        <f t="shared" si="13"/>
        <v>0</v>
      </c>
      <c r="V47" s="2" t="b">
        <f t="shared" si="29"/>
        <v>0</v>
      </c>
    </row>
    <row r="48" spans="1:23" x14ac:dyDescent="0.25">
      <c r="A48" s="34">
        <v>44015</v>
      </c>
      <c r="B48" s="4"/>
      <c r="C48" s="5" t="str">
        <f t="shared" si="25"/>
        <v/>
      </c>
      <c r="D48" s="4" t="str">
        <f t="shared" si="5"/>
        <v/>
      </c>
      <c r="E48" s="4">
        <f t="shared" si="23"/>
        <v>80</v>
      </c>
      <c r="F48" s="34" t="e">
        <f t="shared" si="24"/>
        <v>#VALUE!</v>
      </c>
      <c r="G48" s="4" t="str">
        <f t="shared" si="0"/>
        <v/>
      </c>
      <c r="H48" s="5" t="str">
        <f t="shared" si="26"/>
        <v/>
      </c>
      <c r="I48" s="4"/>
      <c r="J48" s="2" t="str">
        <f t="shared" si="6"/>
        <v/>
      </c>
      <c r="K48" s="24" t="e">
        <f t="shared" si="7"/>
        <v>#VALUE!</v>
      </c>
      <c r="L48" s="24" t="e">
        <f t="shared" si="8"/>
        <v>#VALUE!</v>
      </c>
      <c r="M48" s="24" t="e">
        <f t="shared" si="9"/>
        <v>#VALUE!</v>
      </c>
      <c r="O48" s="34" t="e">
        <f t="shared" si="1"/>
        <v>#VALUE!</v>
      </c>
      <c r="P48" s="2" t="e">
        <f t="shared" si="2"/>
        <v>#VALUE!</v>
      </c>
      <c r="Q48" s="2" t="e">
        <f t="shared" si="10"/>
        <v>#VALUE!</v>
      </c>
      <c r="R48" s="2" t="e">
        <f t="shared" si="11"/>
        <v>#VALUE!</v>
      </c>
      <c r="S48" s="2" t="str">
        <f t="shared" si="12"/>
        <v>N</v>
      </c>
      <c r="T48" s="2" t="b">
        <f t="shared" si="28"/>
        <v>0</v>
      </c>
      <c r="U48" s="2" t="b">
        <f t="shared" si="13"/>
        <v>0</v>
      </c>
      <c r="V48" s="2" t="b">
        <f t="shared" si="29"/>
        <v>0</v>
      </c>
    </row>
    <row r="49" spans="1:22" x14ac:dyDescent="0.25">
      <c r="A49" s="34">
        <v>44022</v>
      </c>
      <c r="B49" s="4"/>
      <c r="C49" s="5" t="str">
        <f t="shared" si="25"/>
        <v/>
      </c>
      <c r="D49" s="4" t="str">
        <f t="shared" si="5"/>
        <v/>
      </c>
      <c r="E49" s="4">
        <f t="shared" si="23"/>
        <v>80</v>
      </c>
      <c r="F49" s="34" t="e">
        <f t="shared" si="24"/>
        <v>#VALUE!</v>
      </c>
      <c r="G49" s="4" t="str">
        <f t="shared" si="0"/>
        <v/>
      </c>
      <c r="H49" s="5" t="str">
        <f t="shared" si="26"/>
        <v/>
      </c>
      <c r="I49" s="4"/>
      <c r="J49" s="2" t="str">
        <f t="shared" si="6"/>
        <v/>
      </c>
      <c r="K49" s="24" t="e">
        <f t="shared" si="7"/>
        <v>#VALUE!</v>
      </c>
      <c r="L49" s="24" t="e">
        <f t="shared" si="8"/>
        <v>#VALUE!</v>
      </c>
      <c r="M49" s="24" t="e">
        <f t="shared" si="9"/>
        <v>#VALUE!</v>
      </c>
      <c r="O49" s="34" t="e">
        <f t="shared" si="1"/>
        <v>#VALUE!</v>
      </c>
      <c r="P49" s="2" t="e">
        <f t="shared" si="2"/>
        <v>#VALUE!</v>
      </c>
      <c r="Q49" s="2" t="e">
        <f t="shared" si="10"/>
        <v>#VALUE!</v>
      </c>
      <c r="R49" s="2" t="e">
        <f t="shared" si="11"/>
        <v>#VALUE!</v>
      </c>
      <c r="S49" s="2" t="str">
        <f t="shared" si="12"/>
        <v>N</v>
      </c>
      <c r="T49" s="2" t="b">
        <f t="shared" si="28"/>
        <v>0</v>
      </c>
      <c r="U49" s="2" t="b">
        <f t="shared" si="13"/>
        <v>0</v>
      </c>
      <c r="V49" s="2" t="b">
        <f t="shared" si="29"/>
        <v>0</v>
      </c>
    </row>
    <row r="50" spans="1:22" x14ac:dyDescent="0.25">
      <c r="A50" s="34">
        <v>44029</v>
      </c>
      <c r="B50" s="4"/>
      <c r="C50" s="5" t="str">
        <f t="shared" si="25"/>
        <v/>
      </c>
      <c r="D50" s="4" t="str">
        <f t="shared" si="5"/>
        <v/>
      </c>
      <c r="E50" s="4">
        <f t="shared" si="23"/>
        <v>80</v>
      </c>
      <c r="F50" s="34" t="e">
        <f t="shared" si="24"/>
        <v>#VALUE!</v>
      </c>
      <c r="G50" s="4" t="str">
        <f t="shared" si="0"/>
        <v/>
      </c>
      <c r="H50" s="5" t="str">
        <f t="shared" si="26"/>
        <v/>
      </c>
      <c r="I50" s="4"/>
      <c r="J50" s="2" t="str">
        <f t="shared" si="6"/>
        <v/>
      </c>
      <c r="K50" s="24" t="e">
        <f t="shared" si="7"/>
        <v>#VALUE!</v>
      </c>
      <c r="L50" s="24" t="e">
        <f t="shared" si="8"/>
        <v>#VALUE!</v>
      </c>
      <c r="M50" s="24" t="e">
        <f t="shared" si="9"/>
        <v>#VALUE!</v>
      </c>
      <c r="O50" s="34" t="e">
        <f t="shared" si="1"/>
        <v>#VALUE!</v>
      </c>
      <c r="P50" s="2" t="e">
        <f t="shared" si="2"/>
        <v>#VALUE!</v>
      </c>
      <c r="Q50" s="2" t="e">
        <f t="shared" si="10"/>
        <v>#VALUE!</v>
      </c>
      <c r="R50" s="2" t="e">
        <f t="shared" si="11"/>
        <v>#VALUE!</v>
      </c>
      <c r="S50" s="2" t="str">
        <f t="shared" si="12"/>
        <v>N</v>
      </c>
      <c r="T50" s="2" t="b">
        <f t="shared" si="28"/>
        <v>0</v>
      </c>
      <c r="U50" s="2" t="b">
        <f t="shared" si="13"/>
        <v>0</v>
      </c>
      <c r="V50" s="2" t="b">
        <f t="shared" si="29"/>
        <v>0</v>
      </c>
    </row>
    <row r="51" spans="1:22" x14ac:dyDescent="0.25">
      <c r="A51" s="34">
        <v>44036</v>
      </c>
      <c r="B51" s="4"/>
      <c r="C51" s="5" t="str">
        <f t="shared" si="25"/>
        <v/>
      </c>
      <c r="D51" s="4" t="str">
        <f t="shared" si="5"/>
        <v/>
      </c>
      <c r="E51" s="4">
        <f t="shared" si="23"/>
        <v>80</v>
      </c>
      <c r="F51" s="34" t="e">
        <f t="shared" si="24"/>
        <v>#VALUE!</v>
      </c>
      <c r="G51" s="4" t="str">
        <f t="shared" si="0"/>
        <v/>
      </c>
      <c r="H51" s="5" t="str">
        <f t="shared" si="26"/>
        <v/>
      </c>
      <c r="I51" s="4"/>
      <c r="J51" s="2" t="str">
        <f t="shared" si="6"/>
        <v/>
      </c>
      <c r="K51" s="24" t="e">
        <f t="shared" si="7"/>
        <v>#VALUE!</v>
      </c>
      <c r="L51" s="24" t="e">
        <f t="shared" si="8"/>
        <v>#VALUE!</v>
      </c>
      <c r="M51" s="24" t="e">
        <f t="shared" si="9"/>
        <v>#VALUE!</v>
      </c>
      <c r="O51" s="34" t="e">
        <f t="shared" si="1"/>
        <v>#VALUE!</v>
      </c>
      <c r="P51" s="2" t="e">
        <f t="shared" si="2"/>
        <v>#VALUE!</v>
      </c>
      <c r="Q51" s="2" t="e">
        <f t="shared" si="10"/>
        <v>#VALUE!</v>
      </c>
      <c r="R51" s="2" t="e">
        <f t="shared" si="11"/>
        <v>#VALUE!</v>
      </c>
      <c r="S51" s="2" t="str">
        <f t="shared" si="12"/>
        <v>N</v>
      </c>
      <c r="T51" s="2" t="b">
        <f t="shared" si="28"/>
        <v>0</v>
      </c>
      <c r="U51" s="2" t="b">
        <f t="shared" si="13"/>
        <v>0</v>
      </c>
      <c r="V51" s="2" t="b">
        <f t="shared" si="29"/>
        <v>0</v>
      </c>
    </row>
    <row r="52" spans="1:22" x14ac:dyDescent="0.25">
      <c r="A52" s="34">
        <v>44043</v>
      </c>
      <c r="B52" s="4"/>
      <c r="C52" s="5" t="str">
        <f t="shared" si="25"/>
        <v/>
      </c>
      <c r="D52" s="4" t="str">
        <f t="shared" si="5"/>
        <v/>
      </c>
      <c r="E52" s="4">
        <f t="shared" si="23"/>
        <v>80</v>
      </c>
      <c r="F52" s="34" t="e">
        <f t="shared" si="24"/>
        <v>#VALUE!</v>
      </c>
      <c r="G52" s="4" t="str">
        <f t="shared" si="0"/>
        <v/>
      </c>
      <c r="H52" s="5" t="str">
        <f t="shared" si="26"/>
        <v/>
      </c>
      <c r="I52" s="4"/>
      <c r="J52" s="2" t="str">
        <f t="shared" si="6"/>
        <v/>
      </c>
      <c r="K52" s="24" t="e">
        <f t="shared" si="7"/>
        <v>#VALUE!</v>
      </c>
      <c r="L52" s="24" t="e">
        <f t="shared" si="8"/>
        <v>#VALUE!</v>
      </c>
      <c r="M52" s="24" t="e">
        <f t="shared" si="9"/>
        <v>#VALUE!</v>
      </c>
      <c r="O52" s="34" t="e">
        <f t="shared" si="1"/>
        <v>#VALUE!</v>
      </c>
      <c r="P52" s="2" t="e">
        <f t="shared" si="2"/>
        <v>#VALUE!</v>
      </c>
      <c r="Q52" s="2" t="e">
        <f t="shared" si="10"/>
        <v>#VALUE!</v>
      </c>
      <c r="R52" s="2" t="e">
        <f t="shared" si="11"/>
        <v>#VALUE!</v>
      </c>
      <c r="S52" s="2" t="str">
        <f t="shared" si="12"/>
        <v>N</v>
      </c>
      <c r="T52" s="2" t="b">
        <f t="shared" si="28"/>
        <v>0</v>
      </c>
      <c r="U52" s="2" t="b">
        <f t="shared" si="13"/>
        <v>0</v>
      </c>
      <c r="V52" s="2" t="b">
        <f t="shared" si="29"/>
        <v>0</v>
      </c>
    </row>
    <row r="53" spans="1:22" x14ac:dyDescent="0.25">
      <c r="A53" s="34">
        <v>44050</v>
      </c>
      <c r="B53" s="4"/>
      <c r="C53" s="5" t="str">
        <f t="shared" si="25"/>
        <v/>
      </c>
      <c r="D53" s="4" t="str">
        <f t="shared" si="5"/>
        <v/>
      </c>
      <c r="E53" s="4">
        <f t="shared" si="23"/>
        <v>80</v>
      </c>
      <c r="F53" s="34" t="e">
        <f t="shared" si="24"/>
        <v>#VALUE!</v>
      </c>
      <c r="G53" s="4" t="str">
        <f t="shared" si="0"/>
        <v/>
      </c>
      <c r="H53" s="5" t="str">
        <f t="shared" si="26"/>
        <v/>
      </c>
      <c r="I53" s="4"/>
      <c r="J53" s="2" t="str">
        <f t="shared" si="6"/>
        <v/>
      </c>
      <c r="K53" s="24" t="e">
        <f t="shared" si="7"/>
        <v>#VALUE!</v>
      </c>
      <c r="L53" s="24" t="e">
        <f t="shared" si="8"/>
        <v>#VALUE!</v>
      </c>
      <c r="M53" s="24" t="e">
        <f t="shared" si="9"/>
        <v>#VALUE!</v>
      </c>
      <c r="O53" s="34" t="e">
        <f t="shared" si="1"/>
        <v>#VALUE!</v>
      </c>
      <c r="P53" s="2" t="e">
        <f t="shared" si="2"/>
        <v>#VALUE!</v>
      </c>
      <c r="Q53" s="2" t="e">
        <f t="shared" si="10"/>
        <v>#VALUE!</v>
      </c>
      <c r="R53" s="2" t="e">
        <f t="shared" si="11"/>
        <v>#VALUE!</v>
      </c>
      <c r="S53" s="2" t="str">
        <f t="shared" si="12"/>
        <v>N</v>
      </c>
      <c r="T53" s="2" t="b">
        <f t="shared" si="28"/>
        <v>0</v>
      </c>
      <c r="U53" s="2" t="b">
        <f t="shared" si="13"/>
        <v>0</v>
      </c>
      <c r="V53" s="2" t="b">
        <f t="shared" si="29"/>
        <v>0</v>
      </c>
    </row>
    <row r="54" spans="1:22" x14ac:dyDescent="0.25">
      <c r="A54" s="34">
        <v>44057</v>
      </c>
      <c r="B54" s="4"/>
      <c r="C54" s="5" t="str">
        <f t="shared" si="25"/>
        <v/>
      </c>
      <c r="D54" s="4" t="str">
        <f t="shared" si="5"/>
        <v/>
      </c>
      <c r="E54" s="4">
        <f t="shared" si="23"/>
        <v>80</v>
      </c>
      <c r="F54" s="34" t="e">
        <f t="shared" si="24"/>
        <v>#VALUE!</v>
      </c>
      <c r="G54" s="4" t="str">
        <f t="shared" si="0"/>
        <v/>
      </c>
      <c r="H54" s="5" t="str">
        <f t="shared" si="26"/>
        <v/>
      </c>
      <c r="I54" s="4"/>
      <c r="J54" s="2" t="str">
        <f t="shared" si="6"/>
        <v/>
      </c>
      <c r="K54" s="24" t="e">
        <f t="shared" si="7"/>
        <v>#VALUE!</v>
      </c>
      <c r="L54" s="24" t="e">
        <f t="shared" si="8"/>
        <v>#VALUE!</v>
      </c>
      <c r="M54" s="24" t="e">
        <f t="shared" si="9"/>
        <v>#VALUE!</v>
      </c>
      <c r="O54" s="34" t="e">
        <f t="shared" si="1"/>
        <v>#VALUE!</v>
      </c>
      <c r="P54" s="2" t="e">
        <f t="shared" si="2"/>
        <v>#VALUE!</v>
      </c>
      <c r="Q54" s="2" t="e">
        <f t="shared" si="10"/>
        <v>#VALUE!</v>
      </c>
      <c r="R54" s="2" t="e">
        <f t="shared" si="11"/>
        <v>#VALUE!</v>
      </c>
      <c r="S54" s="2" t="str">
        <f t="shared" si="12"/>
        <v>N</v>
      </c>
      <c r="T54" s="2" t="b">
        <f t="shared" si="28"/>
        <v>0</v>
      </c>
      <c r="U54" s="2" t="b">
        <f t="shared" si="13"/>
        <v>0</v>
      </c>
      <c r="V54" s="2" t="b">
        <f t="shared" si="29"/>
        <v>0</v>
      </c>
    </row>
    <row r="55" spans="1:22" x14ac:dyDescent="0.25">
      <c r="A55" s="34">
        <v>44064</v>
      </c>
      <c r="B55" s="4"/>
      <c r="C55" s="5" t="str">
        <f t="shared" si="25"/>
        <v/>
      </c>
      <c r="D55" s="4" t="str">
        <f t="shared" si="5"/>
        <v/>
      </c>
      <c r="E55" s="4">
        <f t="shared" si="23"/>
        <v>80</v>
      </c>
      <c r="F55" s="34" t="e">
        <f t="shared" si="24"/>
        <v>#VALUE!</v>
      </c>
      <c r="G55" s="4" t="str">
        <f t="shared" si="0"/>
        <v/>
      </c>
      <c r="H55" s="5" t="str">
        <f t="shared" si="26"/>
        <v/>
      </c>
      <c r="I55" s="4"/>
      <c r="J55" s="2" t="str">
        <f t="shared" si="6"/>
        <v/>
      </c>
      <c r="K55" s="24" t="e">
        <f t="shared" si="7"/>
        <v>#VALUE!</v>
      </c>
      <c r="L55" s="24" t="e">
        <f t="shared" si="8"/>
        <v>#VALUE!</v>
      </c>
      <c r="M55" s="24" t="e">
        <f t="shared" si="9"/>
        <v>#VALUE!</v>
      </c>
      <c r="O55" s="34" t="e">
        <f t="shared" si="1"/>
        <v>#VALUE!</v>
      </c>
      <c r="P55" s="2" t="e">
        <f t="shared" si="2"/>
        <v>#VALUE!</v>
      </c>
      <c r="Q55" s="2" t="e">
        <f t="shared" si="10"/>
        <v>#VALUE!</v>
      </c>
      <c r="R55" s="2" t="e">
        <f t="shared" si="11"/>
        <v>#VALUE!</v>
      </c>
      <c r="S55" s="2" t="str">
        <f t="shared" si="12"/>
        <v>N</v>
      </c>
      <c r="T55" s="2" t="b">
        <f t="shared" si="28"/>
        <v>0</v>
      </c>
      <c r="U55" s="2" t="b">
        <f t="shared" si="13"/>
        <v>0</v>
      </c>
      <c r="V55" s="2" t="b">
        <f t="shared" si="29"/>
        <v>0</v>
      </c>
    </row>
    <row r="56" spans="1:22" x14ac:dyDescent="0.25">
      <c r="A56" s="34">
        <v>44071</v>
      </c>
      <c r="B56" s="4"/>
      <c r="C56" s="5" t="str">
        <f t="shared" si="25"/>
        <v/>
      </c>
      <c r="D56" s="4" t="str">
        <f t="shared" si="5"/>
        <v/>
      </c>
      <c r="E56" s="4">
        <f t="shared" si="23"/>
        <v>80</v>
      </c>
      <c r="F56" s="34" t="e">
        <f t="shared" si="24"/>
        <v>#VALUE!</v>
      </c>
      <c r="G56" s="4" t="str">
        <f t="shared" si="0"/>
        <v/>
      </c>
      <c r="H56" s="5" t="str">
        <f t="shared" si="26"/>
        <v/>
      </c>
      <c r="I56" s="4"/>
      <c r="J56" s="2" t="str">
        <f t="shared" si="6"/>
        <v/>
      </c>
      <c r="K56" s="24" t="e">
        <f t="shared" si="7"/>
        <v>#VALUE!</v>
      </c>
      <c r="L56" s="24" t="e">
        <f t="shared" si="8"/>
        <v>#VALUE!</v>
      </c>
      <c r="M56" s="24" t="e">
        <f t="shared" si="9"/>
        <v>#VALUE!</v>
      </c>
      <c r="O56" s="34" t="e">
        <f t="shared" si="1"/>
        <v>#VALUE!</v>
      </c>
      <c r="P56" s="2" t="e">
        <f t="shared" si="2"/>
        <v>#VALUE!</v>
      </c>
      <c r="Q56" s="2" t="e">
        <f t="shared" si="10"/>
        <v>#VALUE!</v>
      </c>
      <c r="R56" s="2" t="e">
        <f t="shared" si="11"/>
        <v>#VALUE!</v>
      </c>
      <c r="S56" s="2" t="str">
        <f t="shared" si="12"/>
        <v>N</v>
      </c>
      <c r="T56" s="2" t="b">
        <f t="shared" si="28"/>
        <v>0</v>
      </c>
      <c r="U56" s="2" t="b">
        <f t="shared" si="13"/>
        <v>0</v>
      </c>
      <c r="V56" s="2" t="b">
        <f t="shared" si="29"/>
        <v>0</v>
      </c>
    </row>
    <row r="57" spans="1:22" x14ac:dyDescent="0.25">
      <c r="A57" s="34">
        <v>44078</v>
      </c>
      <c r="B57" s="4"/>
      <c r="C57" s="5" t="str">
        <f t="shared" si="25"/>
        <v/>
      </c>
      <c r="D57" s="4" t="str">
        <f t="shared" si="5"/>
        <v/>
      </c>
      <c r="E57" s="4">
        <f t="shared" si="23"/>
        <v>80</v>
      </c>
      <c r="F57" s="34" t="e">
        <f t="shared" si="24"/>
        <v>#VALUE!</v>
      </c>
      <c r="G57" s="4" t="str">
        <f t="shared" si="0"/>
        <v/>
      </c>
      <c r="H57" s="5" t="str">
        <f t="shared" si="26"/>
        <v/>
      </c>
      <c r="I57" s="4"/>
      <c r="J57" s="2" t="str">
        <f t="shared" si="6"/>
        <v/>
      </c>
      <c r="K57" s="24" t="e">
        <f t="shared" si="7"/>
        <v>#VALUE!</v>
      </c>
      <c r="L57" s="24" t="e">
        <f t="shared" si="8"/>
        <v>#VALUE!</v>
      </c>
      <c r="M57" s="24" t="e">
        <f t="shared" si="9"/>
        <v>#VALUE!</v>
      </c>
      <c r="O57" s="34" t="e">
        <f t="shared" si="1"/>
        <v>#VALUE!</v>
      </c>
      <c r="P57" s="2" t="e">
        <f t="shared" si="2"/>
        <v>#VALUE!</v>
      </c>
      <c r="Q57" s="2" t="e">
        <f t="shared" si="10"/>
        <v>#VALUE!</v>
      </c>
      <c r="R57" s="2" t="e">
        <f t="shared" si="11"/>
        <v>#VALUE!</v>
      </c>
      <c r="S57" s="2" t="str">
        <f t="shared" si="12"/>
        <v>N</v>
      </c>
      <c r="T57" s="2" t="b">
        <f t="shared" si="28"/>
        <v>0</v>
      </c>
      <c r="U57" s="2" t="b">
        <f t="shared" si="13"/>
        <v>0</v>
      </c>
      <c r="V57" s="2" t="b">
        <f t="shared" si="29"/>
        <v>0</v>
      </c>
    </row>
    <row r="58" spans="1:22" x14ac:dyDescent="0.25">
      <c r="A58" s="34">
        <v>44085</v>
      </c>
      <c r="B58" s="4"/>
      <c r="C58" s="5" t="str">
        <f t="shared" si="25"/>
        <v/>
      </c>
      <c r="D58" s="4" t="str">
        <f t="shared" si="5"/>
        <v/>
      </c>
      <c r="E58" s="4">
        <f t="shared" si="23"/>
        <v>80</v>
      </c>
      <c r="F58" s="34" t="e">
        <f t="shared" si="24"/>
        <v>#VALUE!</v>
      </c>
      <c r="G58" s="4" t="str">
        <f t="shared" si="0"/>
        <v/>
      </c>
      <c r="H58" s="5" t="str">
        <f t="shared" si="26"/>
        <v/>
      </c>
      <c r="I58" s="4"/>
      <c r="J58" s="2" t="str">
        <f t="shared" si="6"/>
        <v/>
      </c>
      <c r="K58" s="24" t="e">
        <f t="shared" si="7"/>
        <v>#VALUE!</v>
      </c>
      <c r="L58" s="24" t="e">
        <f t="shared" si="8"/>
        <v>#VALUE!</v>
      </c>
      <c r="M58" s="24" t="e">
        <f t="shared" si="9"/>
        <v>#VALUE!</v>
      </c>
      <c r="O58" s="34" t="e">
        <f t="shared" si="1"/>
        <v>#VALUE!</v>
      </c>
      <c r="P58" s="2" t="e">
        <f t="shared" si="2"/>
        <v>#VALUE!</v>
      </c>
      <c r="Q58" s="2" t="e">
        <f t="shared" si="10"/>
        <v>#VALUE!</v>
      </c>
      <c r="R58" s="2" t="e">
        <f t="shared" si="11"/>
        <v>#VALUE!</v>
      </c>
      <c r="S58" s="2" t="str">
        <f t="shared" si="12"/>
        <v>N</v>
      </c>
      <c r="T58" s="2" t="b">
        <f t="shared" si="28"/>
        <v>0</v>
      </c>
      <c r="U58" s="2" t="b">
        <f t="shared" si="13"/>
        <v>0</v>
      </c>
      <c r="V58" s="2" t="b">
        <f t="shared" si="29"/>
        <v>0</v>
      </c>
    </row>
    <row r="59" spans="1:22" x14ac:dyDescent="0.25">
      <c r="A59" s="34">
        <v>44092</v>
      </c>
      <c r="B59" s="4"/>
      <c r="C59" s="5" t="str">
        <f t="shared" si="25"/>
        <v/>
      </c>
      <c r="D59" s="4" t="str">
        <f t="shared" si="5"/>
        <v/>
      </c>
      <c r="E59" s="4">
        <f t="shared" si="23"/>
        <v>80</v>
      </c>
      <c r="F59" s="34" t="e">
        <f t="shared" si="24"/>
        <v>#VALUE!</v>
      </c>
      <c r="G59" s="4" t="str">
        <f t="shared" si="0"/>
        <v/>
      </c>
      <c r="H59" s="5" t="str">
        <f t="shared" si="26"/>
        <v/>
      </c>
      <c r="I59" s="4"/>
      <c r="J59" s="2" t="str">
        <f t="shared" si="6"/>
        <v/>
      </c>
      <c r="K59" s="24" t="e">
        <f t="shared" si="7"/>
        <v>#VALUE!</v>
      </c>
      <c r="L59" s="24" t="e">
        <f t="shared" si="8"/>
        <v>#VALUE!</v>
      </c>
      <c r="M59" s="24" t="e">
        <f t="shared" si="9"/>
        <v>#VALUE!</v>
      </c>
      <c r="O59" s="34" t="e">
        <f t="shared" si="1"/>
        <v>#VALUE!</v>
      </c>
      <c r="P59" s="2" t="e">
        <f t="shared" si="2"/>
        <v>#VALUE!</v>
      </c>
      <c r="Q59" s="2" t="e">
        <f t="shared" si="10"/>
        <v>#VALUE!</v>
      </c>
      <c r="R59" s="2" t="e">
        <f t="shared" si="11"/>
        <v>#VALUE!</v>
      </c>
      <c r="S59" s="2" t="str">
        <f t="shared" si="12"/>
        <v>N</v>
      </c>
      <c r="T59" s="2" t="b">
        <f t="shared" si="28"/>
        <v>0</v>
      </c>
      <c r="U59" s="2" t="b">
        <f t="shared" si="13"/>
        <v>0</v>
      </c>
      <c r="V59" s="2" t="b">
        <f t="shared" si="29"/>
        <v>0</v>
      </c>
    </row>
    <row r="60" spans="1:22" x14ac:dyDescent="0.25">
      <c r="A60" s="34">
        <v>44099</v>
      </c>
      <c r="B60" s="4"/>
      <c r="C60" s="5" t="str">
        <f t="shared" si="25"/>
        <v/>
      </c>
      <c r="D60" s="4" t="str">
        <f t="shared" si="5"/>
        <v/>
      </c>
      <c r="E60" s="4">
        <f t="shared" si="23"/>
        <v>80</v>
      </c>
      <c r="F60" s="34" t="e">
        <f t="shared" si="24"/>
        <v>#VALUE!</v>
      </c>
      <c r="G60" s="4" t="str">
        <f t="shared" si="0"/>
        <v/>
      </c>
      <c r="H60" s="5" t="str">
        <f t="shared" si="26"/>
        <v/>
      </c>
      <c r="I60" s="4"/>
      <c r="J60" s="2" t="str">
        <f t="shared" si="6"/>
        <v/>
      </c>
      <c r="K60" s="24" t="e">
        <f t="shared" si="7"/>
        <v>#VALUE!</v>
      </c>
      <c r="L60" s="24" t="e">
        <f t="shared" si="8"/>
        <v>#VALUE!</v>
      </c>
      <c r="M60" s="24" t="e">
        <f t="shared" si="9"/>
        <v>#VALUE!</v>
      </c>
      <c r="O60" s="34" t="e">
        <f t="shared" si="1"/>
        <v>#VALUE!</v>
      </c>
      <c r="P60" s="2" t="e">
        <f t="shared" si="2"/>
        <v>#VALUE!</v>
      </c>
      <c r="Q60" s="2" t="e">
        <f t="shared" si="10"/>
        <v>#VALUE!</v>
      </c>
      <c r="R60" s="2" t="e">
        <f t="shared" si="11"/>
        <v>#VALUE!</v>
      </c>
      <c r="S60" s="2" t="str">
        <f t="shared" si="12"/>
        <v>N</v>
      </c>
      <c r="T60" s="2" t="b">
        <f t="shared" si="28"/>
        <v>0</v>
      </c>
      <c r="U60" s="2" t="b">
        <f t="shared" si="13"/>
        <v>0</v>
      </c>
      <c r="V60" s="2" t="b">
        <f t="shared" si="29"/>
        <v>0</v>
      </c>
    </row>
    <row r="61" spans="1:22" x14ac:dyDescent="0.25">
      <c r="A61" s="34">
        <v>44106</v>
      </c>
      <c r="B61" s="4"/>
      <c r="C61" s="5" t="str">
        <f t="shared" si="25"/>
        <v/>
      </c>
      <c r="D61" s="4" t="str">
        <f t="shared" si="5"/>
        <v/>
      </c>
      <c r="E61" s="4">
        <f t="shared" si="23"/>
        <v>80</v>
      </c>
      <c r="F61" s="34" t="e">
        <f t="shared" si="24"/>
        <v>#VALUE!</v>
      </c>
      <c r="G61" s="4" t="str">
        <f t="shared" si="0"/>
        <v/>
      </c>
      <c r="H61" s="5" t="str">
        <f t="shared" si="26"/>
        <v/>
      </c>
      <c r="I61" s="4"/>
      <c r="J61" s="2" t="str">
        <f t="shared" si="6"/>
        <v/>
      </c>
      <c r="K61" s="24" t="e">
        <f t="shared" si="7"/>
        <v>#VALUE!</v>
      </c>
      <c r="L61" s="24" t="e">
        <f t="shared" si="8"/>
        <v>#VALUE!</v>
      </c>
      <c r="M61" s="24" t="e">
        <f t="shared" si="9"/>
        <v>#VALUE!</v>
      </c>
      <c r="O61" s="34" t="e">
        <f t="shared" si="1"/>
        <v>#VALUE!</v>
      </c>
      <c r="P61" s="2" t="e">
        <f t="shared" si="2"/>
        <v>#VALUE!</v>
      </c>
      <c r="Q61" s="2" t="e">
        <f t="shared" si="10"/>
        <v>#VALUE!</v>
      </c>
      <c r="R61" s="2" t="e">
        <f t="shared" si="11"/>
        <v>#VALUE!</v>
      </c>
      <c r="S61" s="2" t="str">
        <f t="shared" si="12"/>
        <v>N</v>
      </c>
      <c r="T61" s="2" t="b">
        <f t="shared" si="28"/>
        <v>0</v>
      </c>
      <c r="U61" s="2" t="b">
        <f t="shared" si="13"/>
        <v>0</v>
      </c>
      <c r="V61" s="2" t="b">
        <f t="shared" si="29"/>
        <v>0</v>
      </c>
    </row>
    <row r="62" spans="1:22" x14ac:dyDescent="0.25">
      <c r="A62" s="34">
        <v>44113</v>
      </c>
      <c r="B62" s="4"/>
      <c r="C62" s="5" t="str">
        <f t="shared" si="25"/>
        <v/>
      </c>
      <c r="D62" s="4" t="str">
        <f t="shared" si="5"/>
        <v/>
      </c>
      <c r="E62" s="4">
        <f t="shared" si="23"/>
        <v>80</v>
      </c>
      <c r="F62" s="34" t="e">
        <f t="shared" si="24"/>
        <v>#VALUE!</v>
      </c>
      <c r="G62" s="4" t="str">
        <f t="shared" si="0"/>
        <v/>
      </c>
      <c r="H62" s="5" t="str">
        <f t="shared" si="26"/>
        <v/>
      </c>
      <c r="I62" s="4"/>
      <c r="J62" s="2" t="str">
        <f t="shared" si="6"/>
        <v/>
      </c>
      <c r="K62" s="24" t="e">
        <f t="shared" si="7"/>
        <v>#VALUE!</v>
      </c>
      <c r="L62" s="24" t="e">
        <f t="shared" si="8"/>
        <v>#VALUE!</v>
      </c>
      <c r="M62" s="24" t="e">
        <f t="shared" si="9"/>
        <v>#VALUE!</v>
      </c>
      <c r="O62" s="34" t="e">
        <f t="shared" si="1"/>
        <v>#VALUE!</v>
      </c>
      <c r="P62" s="2" t="e">
        <f t="shared" si="2"/>
        <v>#VALUE!</v>
      </c>
      <c r="Q62" s="2" t="e">
        <f t="shared" si="10"/>
        <v>#VALUE!</v>
      </c>
      <c r="R62" s="2" t="e">
        <f t="shared" si="11"/>
        <v>#VALUE!</v>
      </c>
      <c r="S62" s="2" t="str">
        <f t="shared" si="12"/>
        <v>N</v>
      </c>
      <c r="T62" s="2" t="b">
        <f t="shared" si="28"/>
        <v>0</v>
      </c>
      <c r="U62" s="2" t="b">
        <f t="shared" si="13"/>
        <v>0</v>
      </c>
      <c r="V62" s="2" t="b">
        <f t="shared" si="29"/>
        <v>0</v>
      </c>
    </row>
    <row r="63" spans="1:22" x14ac:dyDescent="0.25">
      <c r="A63" s="34">
        <v>44120</v>
      </c>
      <c r="B63" s="4"/>
      <c r="C63" s="5" t="str">
        <f t="shared" si="25"/>
        <v/>
      </c>
      <c r="D63" s="4" t="str">
        <f t="shared" si="5"/>
        <v/>
      </c>
      <c r="E63" s="4">
        <f t="shared" si="23"/>
        <v>80</v>
      </c>
      <c r="F63" s="34" t="e">
        <f t="shared" si="24"/>
        <v>#VALUE!</v>
      </c>
      <c r="G63" s="4" t="str">
        <f t="shared" si="0"/>
        <v/>
      </c>
      <c r="H63" s="5" t="str">
        <f t="shared" si="26"/>
        <v/>
      </c>
      <c r="I63" s="4"/>
      <c r="J63" s="2" t="str">
        <f t="shared" si="6"/>
        <v/>
      </c>
      <c r="K63" s="24" t="e">
        <f t="shared" si="7"/>
        <v>#VALUE!</v>
      </c>
      <c r="L63" s="24" t="e">
        <f t="shared" si="8"/>
        <v>#VALUE!</v>
      </c>
      <c r="M63" s="24" t="e">
        <f t="shared" si="9"/>
        <v>#VALUE!</v>
      </c>
      <c r="O63" s="34" t="e">
        <f t="shared" si="1"/>
        <v>#VALUE!</v>
      </c>
      <c r="P63" s="2" t="e">
        <f t="shared" si="2"/>
        <v>#VALUE!</v>
      </c>
      <c r="Q63" s="2" t="e">
        <f t="shared" si="10"/>
        <v>#VALUE!</v>
      </c>
      <c r="R63" s="2" t="e">
        <f t="shared" si="11"/>
        <v>#VALUE!</v>
      </c>
      <c r="S63" s="2" t="str">
        <f t="shared" si="12"/>
        <v>N</v>
      </c>
      <c r="T63" s="2" t="b">
        <f t="shared" si="28"/>
        <v>0</v>
      </c>
      <c r="U63" s="2" t="b">
        <f t="shared" si="13"/>
        <v>0</v>
      </c>
      <c r="V63" s="2" t="b">
        <f t="shared" si="29"/>
        <v>0</v>
      </c>
    </row>
    <row r="64" spans="1:22" x14ac:dyDescent="0.25">
      <c r="A64" s="34">
        <v>44127</v>
      </c>
      <c r="B64" s="4"/>
      <c r="C64" s="5" t="str">
        <f t="shared" si="25"/>
        <v/>
      </c>
      <c r="D64" s="4" t="str">
        <f t="shared" si="5"/>
        <v/>
      </c>
      <c r="E64" s="4">
        <f t="shared" si="23"/>
        <v>80</v>
      </c>
      <c r="F64" s="34" t="e">
        <f t="shared" si="24"/>
        <v>#VALUE!</v>
      </c>
      <c r="G64" s="4" t="str">
        <f t="shared" si="0"/>
        <v/>
      </c>
      <c r="H64" s="5" t="str">
        <f t="shared" si="26"/>
        <v/>
      </c>
      <c r="I64" s="4"/>
      <c r="J64" s="2" t="str">
        <f t="shared" si="6"/>
        <v/>
      </c>
      <c r="K64" s="24" t="e">
        <f t="shared" si="7"/>
        <v>#VALUE!</v>
      </c>
      <c r="L64" s="24" t="e">
        <f t="shared" si="8"/>
        <v>#VALUE!</v>
      </c>
      <c r="M64" s="24" t="e">
        <f t="shared" si="9"/>
        <v>#VALUE!</v>
      </c>
      <c r="O64" s="34" t="e">
        <f t="shared" si="1"/>
        <v>#VALUE!</v>
      </c>
      <c r="P64" s="2" t="e">
        <f t="shared" si="2"/>
        <v>#VALUE!</v>
      </c>
      <c r="Q64" s="2" t="e">
        <f t="shared" si="10"/>
        <v>#VALUE!</v>
      </c>
      <c r="R64" s="2" t="e">
        <f t="shared" si="11"/>
        <v>#VALUE!</v>
      </c>
      <c r="S64" s="2" t="str">
        <f t="shared" si="12"/>
        <v>N</v>
      </c>
      <c r="T64" s="2" t="b">
        <f t="shared" si="28"/>
        <v>0</v>
      </c>
      <c r="U64" s="2" t="b">
        <f t="shared" si="13"/>
        <v>0</v>
      </c>
      <c r="V64" s="2" t="b">
        <f t="shared" si="29"/>
        <v>0</v>
      </c>
    </row>
    <row r="65" spans="1:24" x14ac:dyDescent="0.25">
      <c r="A65" s="34">
        <v>44134</v>
      </c>
      <c r="B65" s="4"/>
      <c r="C65" s="5" t="str">
        <f t="shared" si="25"/>
        <v/>
      </c>
      <c r="D65" s="4" t="str">
        <f t="shared" si="5"/>
        <v/>
      </c>
      <c r="E65" s="4">
        <f t="shared" si="23"/>
        <v>80</v>
      </c>
      <c r="F65" s="34" t="e">
        <f t="shared" si="24"/>
        <v>#VALUE!</v>
      </c>
      <c r="G65" s="4" t="str">
        <f t="shared" si="0"/>
        <v/>
      </c>
      <c r="H65" s="5" t="str">
        <f t="shared" si="26"/>
        <v/>
      </c>
      <c r="I65" s="4"/>
      <c r="J65" s="2" t="str">
        <f t="shared" si="6"/>
        <v/>
      </c>
      <c r="K65" s="24" t="e">
        <f t="shared" si="7"/>
        <v>#VALUE!</v>
      </c>
      <c r="L65" s="24" t="e">
        <f t="shared" si="8"/>
        <v>#VALUE!</v>
      </c>
      <c r="M65" s="24" t="e">
        <f t="shared" si="9"/>
        <v>#VALUE!</v>
      </c>
      <c r="O65" s="34" t="e">
        <f t="shared" si="1"/>
        <v>#VALUE!</v>
      </c>
      <c r="P65" s="2" t="e">
        <f t="shared" si="2"/>
        <v>#VALUE!</v>
      </c>
      <c r="Q65" s="2" t="e">
        <f t="shared" si="10"/>
        <v>#VALUE!</v>
      </c>
      <c r="R65" s="2" t="e">
        <f t="shared" si="11"/>
        <v>#VALUE!</v>
      </c>
      <c r="S65" s="2" t="str">
        <f t="shared" si="12"/>
        <v>N</v>
      </c>
      <c r="T65" s="2" t="b">
        <f t="shared" si="28"/>
        <v>0</v>
      </c>
      <c r="U65" s="2" t="b">
        <f t="shared" si="13"/>
        <v>0</v>
      </c>
      <c r="V65" s="2" t="b">
        <f t="shared" si="29"/>
        <v>0</v>
      </c>
    </row>
    <row r="66" spans="1:24" x14ac:dyDescent="0.25">
      <c r="A66" s="34">
        <v>44141</v>
      </c>
      <c r="B66" s="4"/>
      <c r="C66" s="5" t="str">
        <f t="shared" si="25"/>
        <v/>
      </c>
      <c r="D66" s="4" t="str">
        <f t="shared" si="5"/>
        <v/>
      </c>
      <c r="E66" s="4">
        <f t="shared" si="23"/>
        <v>80</v>
      </c>
      <c r="F66" s="34" t="e">
        <f t="shared" si="24"/>
        <v>#VALUE!</v>
      </c>
      <c r="G66" s="4" t="str">
        <f t="shared" si="0"/>
        <v/>
      </c>
      <c r="H66" s="5" t="str">
        <f t="shared" si="26"/>
        <v/>
      </c>
      <c r="I66" s="4"/>
      <c r="J66" s="2" t="str">
        <f t="shared" si="6"/>
        <v/>
      </c>
      <c r="K66" s="24" t="e">
        <f t="shared" si="7"/>
        <v>#VALUE!</v>
      </c>
      <c r="L66" s="24" t="e">
        <f t="shared" si="8"/>
        <v>#VALUE!</v>
      </c>
      <c r="M66" s="24" t="e">
        <f t="shared" si="9"/>
        <v>#VALUE!</v>
      </c>
      <c r="O66" s="34" t="e">
        <f t="shared" si="1"/>
        <v>#VALUE!</v>
      </c>
      <c r="P66" s="2" t="e">
        <f t="shared" si="2"/>
        <v>#VALUE!</v>
      </c>
      <c r="Q66" s="2" t="e">
        <f t="shared" si="10"/>
        <v>#VALUE!</v>
      </c>
      <c r="R66" s="2" t="e">
        <f t="shared" si="11"/>
        <v>#VALUE!</v>
      </c>
      <c r="S66" s="2" t="str">
        <f t="shared" si="12"/>
        <v>N</v>
      </c>
      <c r="T66" s="2" t="b">
        <f t="shared" si="28"/>
        <v>0</v>
      </c>
      <c r="U66" s="2" t="b">
        <f t="shared" si="13"/>
        <v>0</v>
      </c>
      <c r="V66" s="2" t="b">
        <f t="shared" si="29"/>
        <v>0</v>
      </c>
    </row>
    <row r="67" spans="1:24" x14ac:dyDescent="0.25">
      <c r="A67" s="34">
        <v>44148</v>
      </c>
      <c r="B67" s="4"/>
      <c r="C67" s="5" t="str">
        <f t="shared" si="25"/>
        <v/>
      </c>
      <c r="D67" s="4" t="str">
        <f t="shared" si="5"/>
        <v/>
      </c>
      <c r="E67" s="4">
        <f t="shared" si="23"/>
        <v>80</v>
      </c>
      <c r="F67" s="34" t="e">
        <f t="shared" si="24"/>
        <v>#VALUE!</v>
      </c>
      <c r="G67" s="4" t="str">
        <f t="shared" si="0"/>
        <v/>
      </c>
      <c r="H67" s="5" t="str">
        <f t="shared" si="26"/>
        <v/>
      </c>
      <c r="I67" s="4"/>
      <c r="J67" s="2" t="str">
        <f t="shared" si="6"/>
        <v/>
      </c>
      <c r="K67" s="24" t="e">
        <f t="shared" si="7"/>
        <v>#VALUE!</v>
      </c>
      <c r="L67" s="24" t="e">
        <f t="shared" si="8"/>
        <v>#VALUE!</v>
      </c>
      <c r="M67" s="24" t="e">
        <f t="shared" si="9"/>
        <v>#VALUE!</v>
      </c>
      <c r="O67" s="34" t="e">
        <f t="shared" si="1"/>
        <v>#VALUE!</v>
      </c>
      <c r="P67" s="2" t="e">
        <f t="shared" si="2"/>
        <v>#VALUE!</v>
      </c>
      <c r="Q67" s="2" t="e">
        <f t="shared" si="10"/>
        <v>#VALUE!</v>
      </c>
      <c r="R67" s="2" t="e">
        <f t="shared" si="11"/>
        <v>#VALUE!</v>
      </c>
      <c r="S67" s="2" t="str">
        <f t="shared" si="12"/>
        <v>N</v>
      </c>
      <c r="T67" s="2" t="b">
        <f t="shared" si="28"/>
        <v>0</v>
      </c>
      <c r="U67" s="2" t="b">
        <f t="shared" si="13"/>
        <v>0</v>
      </c>
      <c r="V67" s="2" t="b">
        <f t="shared" si="29"/>
        <v>0</v>
      </c>
    </row>
    <row r="68" spans="1:24" x14ac:dyDescent="0.25">
      <c r="A68" s="34">
        <v>44155</v>
      </c>
      <c r="B68" s="4"/>
      <c r="C68" s="5" t="str">
        <f t="shared" si="25"/>
        <v/>
      </c>
      <c r="D68" s="4" t="str">
        <f t="shared" si="5"/>
        <v/>
      </c>
      <c r="E68" s="4">
        <f t="shared" si="23"/>
        <v>80</v>
      </c>
      <c r="F68" s="34" t="e">
        <f t="shared" si="24"/>
        <v>#VALUE!</v>
      </c>
      <c r="G68" s="4" t="str">
        <f t="shared" si="0"/>
        <v/>
      </c>
      <c r="H68" s="5" t="str">
        <f t="shared" si="26"/>
        <v/>
      </c>
      <c r="I68" s="4"/>
      <c r="J68" s="2" t="str">
        <f t="shared" si="6"/>
        <v/>
      </c>
      <c r="K68" s="24" t="e">
        <f t="shared" si="7"/>
        <v>#VALUE!</v>
      </c>
      <c r="L68" s="24" t="e">
        <f t="shared" si="8"/>
        <v>#VALUE!</v>
      </c>
      <c r="M68" s="24" t="e">
        <f t="shared" si="9"/>
        <v>#VALUE!</v>
      </c>
      <c r="O68" s="34" t="e">
        <f t="shared" si="1"/>
        <v>#VALUE!</v>
      </c>
      <c r="P68" s="2" t="e">
        <f t="shared" si="2"/>
        <v>#VALUE!</v>
      </c>
      <c r="Q68" s="2" t="e">
        <f t="shared" si="10"/>
        <v>#VALUE!</v>
      </c>
      <c r="R68" s="2" t="e">
        <f t="shared" si="11"/>
        <v>#VALUE!</v>
      </c>
      <c r="S68" s="2" t="str">
        <f t="shared" si="12"/>
        <v>N</v>
      </c>
      <c r="T68" s="2" t="b">
        <f t="shared" si="28"/>
        <v>0</v>
      </c>
      <c r="U68" s="2" t="b">
        <f t="shared" si="13"/>
        <v>0</v>
      </c>
      <c r="V68" s="2" t="b">
        <f t="shared" si="29"/>
        <v>0</v>
      </c>
    </row>
    <row r="69" spans="1:24" x14ac:dyDescent="0.25">
      <c r="A69" s="34">
        <v>44162</v>
      </c>
      <c r="B69" s="4"/>
      <c r="C69" s="5" t="str">
        <f t="shared" si="25"/>
        <v/>
      </c>
      <c r="D69" s="4" t="str">
        <f t="shared" si="5"/>
        <v/>
      </c>
      <c r="E69" s="4">
        <f t="shared" si="23"/>
        <v>80</v>
      </c>
      <c r="F69" s="34" t="e">
        <f t="shared" si="24"/>
        <v>#VALUE!</v>
      </c>
      <c r="G69" s="4" t="str">
        <f t="shared" ref="G69:G115" si="30">IF(I69="","",I69)</f>
        <v/>
      </c>
      <c r="H69" s="5" t="str">
        <f t="shared" si="26"/>
        <v/>
      </c>
      <c r="I69" s="4"/>
      <c r="J69" s="2" t="str">
        <f t="shared" si="6"/>
        <v/>
      </c>
      <c r="K69" s="24" t="e">
        <f t="shared" si="7"/>
        <v>#VALUE!</v>
      </c>
      <c r="L69" s="24" t="e">
        <f t="shared" si="8"/>
        <v>#VALUE!</v>
      </c>
      <c r="M69" s="24" t="e">
        <f t="shared" si="9"/>
        <v>#VALUE!</v>
      </c>
      <c r="O69" s="34" t="e">
        <f t="shared" ref="O69:O115" si="31">IF(F69&lt;&gt; " ",DATEVALUE(F69)," ")</f>
        <v>#VALUE!</v>
      </c>
      <c r="P69" s="2" t="e">
        <f t="shared" ref="P69:P115" si="32">IF(L69&gt;E69,"Y","N")</f>
        <v>#VALUE!</v>
      </c>
      <c r="Q69" s="2" t="e">
        <f t="shared" si="10"/>
        <v>#VALUE!</v>
      </c>
      <c r="R69" s="2" t="e">
        <f t="shared" si="11"/>
        <v>#VALUE!</v>
      </c>
      <c r="S69" s="2" t="str">
        <f t="shared" si="12"/>
        <v>N</v>
      </c>
      <c r="T69" s="2" t="b">
        <f t="shared" si="28"/>
        <v>0</v>
      </c>
      <c r="U69" s="2" t="b">
        <f t="shared" si="13"/>
        <v>0</v>
      </c>
      <c r="V69" s="2" t="b">
        <f t="shared" si="29"/>
        <v>0</v>
      </c>
    </row>
    <row r="70" spans="1:24" x14ac:dyDescent="0.25">
      <c r="A70" s="34">
        <v>44169</v>
      </c>
      <c r="B70" s="4"/>
      <c r="C70" s="5" t="str">
        <f t="shared" si="25"/>
        <v/>
      </c>
      <c r="D70" s="4" t="str">
        <f t="shared" ref="D70:D113" si="33">IF(I70="","",B70+D69)</f>
        <v/>
      </c>
      <c r="E70" s="4">
        <f t="shared" si="23"/>
        <v>80</v>
      </c>
      <c r="F70" s="34" t="e">
        <f t="shared" si="24"/>
        <v>#VALUE!</v>
      </c>
      <c r="G70" s="4" t="str">
        <f t="shared" si="30"/>
        <v/>
      </c>
      <c r="H70" s="5" t="str">
        <f t="shared" si="26"/>
        <v/>
      </c>
      <c r="I70" s="4"/>
      <c r="J70" s="2" t="str">
        <f t="shared" ref="J70:J113" si="34">(IF(I70="","",I70+J69))</f>
        <v/>
      </c>
      <c r="K70" s="24" t="e">
        <f t="shared" ref="K70:K115" si="35">IF(I70&lt;&gt;"",IF(D71="",J70,""),K69+$G$2)</f>
        <v>#VALUE!</v>
      </c>
      <c r="L70" s="24" t="e">
        <f t="shared" ref="L70:L115" si="36">IF(I70&lt;&gt;"",IF(D71="",J70,""),L69+$G$2+$L$2)</f>
        <v>#VALUE!</v>
      </c>
      <c r="M70" s="24" t="e">
        <f t="shared" ref="M70:M115" si="37">IF(J70&lt;&gt;"",IF(D71="",K70,""),M69+$G$2-$L$2)</f>
        <v>#VALUE!</v>
      </c>
      <c r="O70" s="34" t="e">
        <f t="shared" si="31"/>
        <v>#VALUE!</v>
      </c>
      <c r="P70" s="2" t="e">
        <f t="shared" si="32"/>
        <v>#VALUE!</v>
      </c>
      <c r="Q70" s="2" t="e">
        <f t="shared" ref="Q70:Q113" si="38">IF(K70&gt;E70,"Y","N")</f>
        <v>#VALUE!</v>
      </c>
      <c r="R70" s="2" t="e">
        <f t="shared" ref="R70:R113" si="39">IF(M70&gt;E70,"Y","N")</f>
        <v>#VALUE!</v>
      </c>
      <c r="S70" s="2" t="str">
        <f t="shared" ref="S70:S113" si="40">IF(AND(ISBLANK(I71),NOT(ISBLANK(I70))),"Y","N")</f>
        <v>N</v>
      </c>
      <c r="T70" s="2" t="b">
        <f t="shared" si="28"/>
        <v>0</v>
      </c>
      <c r="U70" s="2" t="b">
        <f t="shared" ref="U70:U113" si="41">ISTEXT(O70)</f>
        <v>0</v>
      </c>
      <c r="V70" s="2" t="b">
        <f t="shared" si="29"/>
        <v>0</v>
      </c>
    </row>
    <row r="71" spans="1:24" x14ac:dyDescent="0.25">
      <c r="A71" s="34">
        <v>44176</v>
      </c>
      <c r="B71" s="4"/>
      <c r="C71" s="5" t="str">
        <f t="shared" si="25"/>
        <v/>
      </c>
      <c r="D71" s="4" t="str">
        <f t="shared" si="33"/>
        <v/>
      </c>
      <c r="E71" s="4">
        <f t="shared" ref="E71:E113" si="42">IF(I71&lt;&gt;"",IF(D72="",D71+$C$2,""),E70+$C$2)</f>
        <v>80</v>
      </c>
      <c r="F71" s="34" t="e">
        <f t="shared" ref="F71:F113" si="43">IF(OR(AND(S71="Y",S72="N"),AND(P71="Y",P70="N"),AND(Q71="Y",Q70="N"),AND(R71="Y",R70="N")),TEXT(A71,"mm/dd/yyyyy")," ")</f>
        <v>#VALUE!</v>
      </c>
      <c r="G71" s="4" t="str">
        <f t="shared" si="30"/>
        <v/>
      </c>
      <c r="H71" s="5" t="str">
        <f t="shared" si="26"/>
        <v/>
      </c>
      <c r="I71" s="4"/>
      <c r="J71" s="2" t="str">
        <f t="shared" si="34"/>
        <v/>
      </c>
      <c r="K71" s="24" t="e">
        <f t="shared" si="35"/>
        <v>#VALUE!</v>
      </c>
      <c r="L71" s="24" t="e">
        <f t="shared" si="36"/>
        <v>#VALUE!</v>
      </c>
      <c r="M71" s="24" t="e">
        <f t="shared" si="37"/>
        <v>#VALUE!</v>
      </c>
      <c r="O71" s="34" t="e">
        <f t="shared" si="31"/>
        <v>#VALUE!</v>
      </c>
      <c r="P71" s="2" t="e">
        <f t="shared" si="32"/>
        <v>#VALUE!</v>
      </c>
      <c r="Q71" s="2" t="e">
        <f t="shared" si="38"/>
        <v>#VALUE!</v>
      </c>
      <c r="R71" s="2" t="e">
        <f t="shared" si="39"/>
        <v>#VALUE!</v>
      </c>
      <c r="S71" s="2" t="str">
        <f t="shared" si="40"/>
        <v>N</v>
      </c>
      <c r="T71" s="2" t="b">
        <f t="shared" si="28"/>
        <v>0</v>
      </c>
      <c r="U71" s="2" t="b">
        <f t="shared" si="41"/>
        <v>0</v>
      </c>
      <c r="V71" s="2" t="b">
        <f t="shared" si="29"/>
        <v>0</v>
      </c>
    </row>
    <row r="72" spans="1:24" x14ac:dyDescent="0.25">
      <c r="A72" s="34">
        <v>44183</v>
      </c>
      <c r="B72" s="4"/>
      <c r="C72" s="5" t="str">
        <f t="shared" si="25"/>
        <v/>
      </c>
      <c r="D72" s="4" t="str">
        <f t="shared" si="33"/>
        <v/>
      </c>
      <c r="E72" s="4">
        <f t="shared" si="42"/>
        <v>80</v>
      </c>
      <c r="F72" s="34" t="e">
        <f t="shared" si="43"/>
        <v>#VALUE!</v>
      </c>
      <c r="G72" s="4" t="str">
        <f t="shared" si="30"/>
        <v/>
      </c>
      <c r="H72" s="5" t="str">
        <f t="shared" si="26"/>
        <v/>
      </c>
      <c r="I72" s="4"/>
      <c r="J72" s="2" t="str">
        <f t="shared" si="34"/>
        <v/>
      </c>
      <c r="K72" s="24" t="e">
        <f t="shared" si="35"/>
        <v>#VALUE!</v>
      </c>
      <c r="L72" s="24" t="e">
        <f t="shared" si="36"/>
        <v>#VALUE!</v>
      </c>
      <c r="M72" s="24" t="e">
        <f t="shared" si="37"/>
        <v>#VALUE!</v>
      </c>
      <c r="O72" s="34" t="e">
        <f t="shared" si="31"/>
        <v>#VALUE!</v>
      </c>
      <c r="P72" s="2" t="e">
        <f t="shared" si="32"/>
        <v>#VALUE!</v>
      </c>
      <c r="Q72" s="2" t="e">
        <f t="shared" si="38"/>
        <v>#VALUE!</v>
      </c>
      <c r="R72" s="2" t="e">
        <f t="shared" si="39"/>
        <v>#VALUE!</v>
      </c>
      <c r="S72" s="2" t="str">
        <f t="shared" si="40"/>
        <v>N</v>
      </c>
      <c r="T72" s="2" t="b">
        <f t="shared" si="28"/>
        <v>0</v>
      </c>
      <c r="U72" s="2" t="b">
        <f t="shared" si="41"/>
        <v>0</v>
      </c>
      <c r="V72" s="2" t="b">
        <f t="shared" si="29"/>
        <v>0</v>
      </c>
    </row>
    <row r="73" spans="1:24" x14ac:dyDescent="0.25">
      <c r="A73" s="34">
        <v>44190</v>
      </c>
      <c r="B73" s="4"/>
      <c r="C73" s="5" t="str">
        <f t="shared" ref="C73:C113" si="44">IF(B73="","",ROUND(AVERAGE(B70:B73),2))</f>
        <v/>
      </c>
      <c r="D73" s="4" t="str">
        <f t="shared" si="33"/>
        <v/>
      </c>
      <c r="E73" s="4">
        <f t="shared" si="42"/>
        <v>80</v>
      </c>
      <c r="F73" s="34" t="e">
        <f t="shared" si="43"/>
        <v>#VALUE!</v>
      </c>
      <c r="G73" s="4" t="str">
        <f t="shared" si="30"/>
        <v/>
      </c>
      <c r="H73" s="5" t="str">
        <f t="shared" ref="H73:H113" si="45">IF(I73="","",ROUND(AVERAGE(G70:G73),2))</f>
        <v/>
      </c>
      <c r="I73" s="4"/>
      <c r="J73" s="2" t="str">
        <f t="shared" si="34"/>
        <v/>
      </c>
      <c r="K73" s="24" t="e">
        <f t="shared" si="35"/>
        <v>#VALUE!</v>
      </c>
      <c r="L73" s="24" t="e">
        <f t="shared" si="36"/>
        <v>#VALUE!</v>
      </c>
      <c r="M73" s="24" t="e">
        <f t="shared" si="37"/>
        <v>#VALUE!</v>
      </c>
      <c r="O73" s="34" t="e">
        <f t="shared" si="31"/>
        <v>#VALUE!</v>
      </c>
      <c r="P73" s="2" t="e">
        <f t="shared" si="32"/>
        <v>#VALUE!</v>
      </c>
      <c r="Q73" s="2" t="e">
        <f t="shared" si="38"/>
        <v>#VALUE!</v>
      </c>
      <c r="R73" s="2" t="e">
        <f t="shared" si="39"/>
        <v>#VALUE!</v>
      </c>
      <c r="S73" s="2" t="str">
        <f t="shared" si="40"/>
        <v>N</v>
      </c>
      <c r="T73" s="2" t="b">
        <f t="shared" si="28"/>
        <v>0</v>
      </c>
      <c r="U73" s="2" t="b">
        <f t="shared" si="41"/>
        <v>0</v>
      </c>
      <c r="V73" s="2" t="b">
        <f t="shared" si="29"/>
        <v>0</v>
      </c>
    </row>
    <row r="74" spans="1:24" x14ac:dyDescent="0.25">
      <c r="A74" s="34">
        <v>44197</v>
      </c>
      <c r="B74" s="4"/>
      <c r="C74" s="5" t="str">
        <f t="shared" si="44"/>
        <v/>
      </c>
      <c r="D74" s="4" t="str">
        <f t="shared" si="33"/>
        <v/>
      </c>
      <c r="E74" s="4">
        <f t="shared" si="42"/>
        <v>80</v>
      </c>
      <c r="F74" s="34" t="e">
        <f t="shared" si="43"/>
        <v>#VALUE!</v>
      </c>
      <c r="G74" s="4" t="str">
        <f t="shared" si="30"/>
        <v/>
      </c>
      <c r="H74" s="5" t="str">
        <f t="shared" si="45"/>
        <v/>
      </c>
      <c r="I74" s="4"/>
      <c r="J74" s="2" t="str">
        <f t="shared" si="34"/>
        <v/>
      </c>
      <c r="K74" s="24" t="e">
        <f t="shared" si="35"/>
        <v>#VALUE!</v>
      </c>
      <c r="L74" s="24" t="e">
        <f t="shared" si="36"/>
        <v>#VALUE!</v>
      </c>
      <c r="M74" s="24" t="e">
        <f t="shared" si="37"/>
        <v>#VALUE!</v>
      </c>
      <c r="O74" s="34" t="e">
        <f t="shared" si="31"/>
        <v>#VALUE!</v>
      </c>
      <c r="P74" s="2" t="e">
        <f t="shared" si="32"/>
        <v>#VALUE!</v>
      </c>
      <c r="Q74" s="2" t="e">
        <f t="shared" si="38"/>
        <v>#VALUE!</v>
      </c>
      <c r="R74" s="2" t="e">
        <f t="shared" si="39"/>
        <v>#VALUE!</v>
      </c>
      <c r="S74" s="2" t="str">
        <f t="shared" si="40"/>
        <v>N</v>
      </c>
      <c r="T74" s="2" t="b">
        <f t="shared" si="28"/>
        <v>0</v>
      </c>
      <c r="U74" s="2" t="b">
        <f t="shared" si="41"/>
        <v>0</v>
      </c>
      <c r="V74" s="2" t="b">
        <f t="shared" si="29"/>
        <v>0</v>
      </c>
    </row>
    <row r="75" spans="1:24" x14ac:dyDescent="0.25">
      <c r="A75" s="34">
        <v>44204</v>
      </c>
      <c r="B75" s="4"/>
      <c r="C75" s="5" t="str">
        <f t="shared" si="44"/>
        <v/>
      </c>
      <c r="D75" s="4" t="str">
        <f t="shared" si="33"/>
        <v/>
      </c>
      <c r="E75" s="4">
        <f t="shared" si="42"/>
        <v>80</v>
      </c>
      <c r="F75" s="34" t="e">
        <f t="shared" si="43"/>
        <v>#VALUE!</v>
      </c>
      <c r="G75" s="4" t="str">
        <f t="shared" si="30"/>
        <v/>
      </c>
      <c r="H75" s="5" t="str">
        <f t="shared" si="45"/>
        <v/>
      </c>
      <c r="I75" s="4"/>
      <c r="J75" s="2" t="str">
        <f t="shared" si="34"/>
        <v/>
      </c>
      <c r="K75" s="24" t="e">
        <f t="shared" si="35"/>
        <v>#VALUE!</v>
      </c>
      <c r="L75" s="24" t="e">
        <f t="shared" si="36"/>
        <v>#VALUE!</v>
      </c>
      <c r="M75" s="24" t="e">
        <f t="shared" si="37"/>
        <v>#VALUE!</v>
      </c>
      <c r="O75" s="34" t="e">
        <f t="shared" si="31"/>
        <v>#VALUE!</v>
      </c>
      <c r="P75" s="2" t="e">
        <f t="shared" si="32"/>
        <v>#VALUE!</v>
      </c>
      <c r="Q75" s="2" t="e">
        <f t="shared" si="38"/>
        <v>#VALUE!</v>
      </c>
      <c r="R75" s="2" t="e">
        <f t="shared" si="39"/>
        <v>#VALUE!</v>
      </c>
      <c r="S75" s="2" t="str">
        <f t="shared" si="40"/>
        <v>N</v>
      </c>
      <c r="T75" s="2" t="b">
        <f t="shared" si="28"/>
        <v>0</v>
      </c>
      <c r="U75" s="2" t="b">
        <f t="shared" si="41"/>
        <v>0</v>
      </c>
      <c r="V75" s="2" t="b">
        <f t="shared" si="29"/>
        <v>0</v>
      </c>
    </row>
    <row r="76" spans="1:24" x14ac:dyDescent="0.25">
      <c r="A76" s="34">
        <v>44211</v>
      </c>
      <c r="B76" s="4"/>
      <c r="C76" s="5" t="str">
        <f t="shared" si="44"/>
        <v/>
      </c>
      <c r="D76" s="4" t="str">
        <f t="shared" si="33"/>
        <v/>
      </c>
      <c r="E76" s="4">
        <f t="shared" si="42"/>
        <v>80</v>
      </c>
      <c r="F76" s="34" t="e">
        <f t="shared" si="43"/>
        <v>#VALUE!</v>
      </c>
      <c r="G76" s="4" t="str">
        <f t="shared" si="30"/>
        <v/>
      </c>
      <c r="H76" s="5" t="str">
        <f t="shared" si="45"/>
        <v/>
      </c>
      <c r="I76" s="4"/>
      <c r="J76" s="2" t="str">
        <f t="shared" si="34"/>
        <v/>
      </c>
      <c r="K76" s="24" t="e">
        <f t="shared" si="35"/>
        <v>#VALUE!</v>
      </c>
      <c r="L76" s="24" t="e">
        <f t="shared" si="36"/>
        <v>#VALUE!</v>
      </c>
      <c r="M76" s="24" t="e">
        <f t="shared" si="37"/>
        <v>#VALUE!</v>
      </c>
      <c r="O76" s="34" t="e">
        <f t="shared" si="31"/>
        <v>#VALUE!</v>
      </c>
      <c r="P76" s="2" t="e">
        <f t="shared" si="32"/>
        <v>#VALUE!</v>
      </c>
      <c r="Q76" s="2" t="e">
        <f t="shared" si="38"/>
        <v>#VALUE!</v>
      </c>
      <c r="R76" s="2" t="e">
        <f t="shared" si="39"/>
        <v>#VALUE!</v>
      </c>
      <c r="S76" s="2" t="str">
        <f t="shared" si="40"/>
        <v>N</v>
      </c>
      <c r="T76" s="2" t="b">
        <f t="shared" si="28"/>
        <v>0</v>
      </c>
      <c r="U76" s="2" t="b">
        <f t="shared" si="41"/>
        <v>0</v>
      </c>
      <c r="V76" s="2" t="b">
        <f t="shared" si="29"/>
        <v>0</v>
      </c>
    </row>
    <row r="77" spans="1:24" x14ac:dyDescent="0.25">
      <c r="A77" s="34">
        <v>44218</v>
      </c>
      <c r="B77" s="4"/>
      <c r="C77" s="5" t="str">
        <f t="shared" si="44"/>
        <v/>
      </c>
      <c r="D77" s="4" t="str">
        <f t="shared" si="33"/>
        <v/>
      </c>
      <c r="E77" s="4">
        <f t="shared" si="42"/>
        <v>80</v>
      </c>
      <c r="F77" s="34" t="e">
        <f t="shared" si="43"/>
        <v>#VALUE!</v>
      </c>
      <c r="G77" s="4" t="str">
        <f t="shared" si="30"/>
        <v/>
      </c>
      <c r="H77" s="5" t="str">
        <f t="shared" si="45"/>
        <v/>
      </c>
      <c r="I77" s="4"/>
      <c r="J77" s="2" t="str">
        <f t="shared" si="34"/>
        <v/>
      </c>
      <c r="K77" s="24" t="e">
        <f t="shared" si="35"/>
        <v>#VALUE!</v>
      </c>
      <c r="L77" s="24" t="e">
        <f t="shared" si="36"/>
        <v>#VALUE!</v>
      </c>
      <c r="M77" s="24" t="e">
        <f t="shared" si="37"/>
        <v>#VALUE!</v>
      </c>
      <c r="O77" s="34" t="e">
        <f t="shared" si="31"/>
        <v>#VALUE!</v>
      </c>
      <c r="P77" s="2" t="e">
        <f t="shared" si="32"/>
        <v>#VALUE!</v>
      </c>
      <c r="Q77" s="2" t="e">
        <f t="shared" si="38"/>
        <v>#VALUE!</v>
      </c>
      <c r="R77" s="2" t="e">
        <f t="shared" si="39"/>
        <v>#VALUE!</v>
      </c>
      <c r="S77" s="2" t="str">
        <f t="shared" si="40"/>
        <v>N</v>
      </c>
      <c r="T77" s="2" t="b">
        <f t="shared" si="28"/>
        <v>0</v>
      </c>
      <c r="U77" s="2" t="b">
        <f t="shared" si="41"/>
        <v>0</v>
      </c>
      <c r="V77" s="2" t="b">
        <f t="shared" si="29"/>
        <v>0</v>
      </c>
    </row>
    <row r="78" spans="1:24" x14ac:dyDescent="0.25">
      <c r="A78" s="34">
        <v>44225</v>
      </c>
      <c r="B78" s="4"/>
      <c r="C78" s="5" t="str">
        <f t="shared" si="44"/>
        <v/>
      </c>
      <c r="D78" s="4" t="str">
        <f t="shared" si="33"/>
        <v/>
      </c>
      <c r="E78" s="4">
        <f t="shared" si="42"/>
        <v>80</v>
      </c>
      <c r="F78" s="34" t="e">
        <f t="shared" si="43"/>
        <v>#VALUE!</v>
      </c>
      <c r="G78" s="4" t="str">
        <f t="shared" si="30"/>
        <v/>
      </c>
      <c r="H78" s="5" t="str">
        <f t="shared" si="45"/>
        <v/>
      </c>
      <c r="I78" s="4"/>
      <c r="J78" s="2" t="str">
        <f t="shared" si="34"/>
        <v/>
      </c>
      <c r="K78" s="24" t="e">
        <f t="shared" si="35"/>
        <v>#VALUE!</v>
      </c>
      <c r="L78" s="24" t="e">
        <f t="shared" si="36"/>
        <v>#VALUE!</v>
      </c>
      <c r="M78" s="24" t="e">
        <f t="shared" si="37"/>
        <v>#VALUE!</v>
      </c>
      <c r="O78" s="34" t="e">
        <f t="shared" si="31"/>
        <v>#VALUE!</v>
      </c>
      <c r="P78" s="2" t="e">
        <f t="shared" si="32"/>
        <v>#VALUE!</v>
      </c>
      <c r="Q78" s="2" t="e">
        <f t="shared" si="38"/>
        <v>#VALUE!</v>
      </c>
      <c r="R78" s="2" t="e">
        <f t="shared" si="39"/>
        <v>#VALUE!</v>
      </c>
      <c r="S78" s="2" t="str">
        <f t="shared" si="40"/>
        <v>N</v>
      </c>
      <c r="T78" s="2" t="b">
        <f t="shared" si="28"/>
        <v>0</v>
      </c>
      <c r="U78" s="2" t="b">
        <f t="shared" si="41"/>
        <v>0</v>
      </c>
      <c r="V78" s="2" t="b">
        <f t="shared" si="29"/>
        <v>0</v>
      </c>
    </row>
    <row r="79" spans="1:24" x14ac:dyDescent="0.25">
      <c r="A79" s="34">
        <v>44232</v>
      </c>
      <c r="B79" s="4"/>
      <c r="C79" s="5" t="str">
        <f t="shared" si="44"/>
        <v/>
      </c>
      <c r="D79" s="4" t="str">
        <f t="shared" si="33"/>
        <v/>
      </c>
      <c r="E79" s="4">
        <f t="shared" si="42"/>
        <v>80</v>
      </c>
      <c r="F79" s="34" t="e">
        <f t="shared" si="43"/>
        <v>#VALUE!</v>
      </c>
      <c r="G79" s="4" t="str">
        <f t="shared" si="30"/>
        <v/>
      </c>
      <c r="H79" s="5" t="str">
        <f t="shared" si="45"/>
        <v/>
      </c>
      <c r="I79" s="4"/>
      <c r="J79" s="2" t="str">
        <f t="shared" si="34"/>
        <v/>
      </c>
      <c r="K79" s="24" t="e">
        <f t="shared" si="35"/>
        <v>#VALUE!</v>
      </c>
      <c r="L79" s="24" t="e">
        <f t="shared" si="36"/>
        <v>#VALUE!</v>
      </c>
      <c r="M79" s="24" t="e">
        <f t="shared" si="37"/>
        <v>#VALUE!</v>
      </c>
      <c r="O79" s="34" t="e">
        <f t="shared" si="31"/>
        <v>#VALUE!</v>
      </c>
      <c r="P79" s="2" t="e">
        <f t="shared" si="32"/>
        <v>#VALUE!</v>
      </c>
      <c r="Q79" s="2" t="e">
        <f t="shared" si="38"/>
        <v>#VALUE!</v>
      </c>
      <c r="R79" s="2" t="e">
        <f t="shared" si="39"/>
        <v>#VALUE!</v>
      </c>
      <c r="S79" s="2" t="str">
        <f t="shared" si="40"/>
        <v>N</v>
      </c>
      <c r="T79" s="2" t="b">
        <f t="shared" si="28"/>
        <v>0</v>
      </c>
      <c r="U79" s="2" t="b">
        <f t="shared" si="41"/>
        <v>0</v>
      </c>
      <c r="V79" s="2" t="b">
        <f t="shared" si="29"/>
        <v>0</v>
      </c>
    </row>
    <row r="80" spans="1:24" x14ac:dyDescent="0.25">
      <c r="A80" s="34">
        <v>44239</v>
      </c>
      <c r="B80" s="4"/>
      <c r="C80" s="5" t="str">
        <f t="shared" si="44"/>
        <v/>
      </c>
      <c r="D80" s="4" t="str">
        <f t="shared" si="33"/>
        <v/>
      </c>
      <c r="E80" s="4">
        <f t="shared" si="42"/>
        <v>80</v>
      </c>
      <c r="F80" s="34" t="e">
        <f t="shared" si="43"/>
        <v>#VALUE!</v>
      </c>
      <c r="G80" s="4" t="str">
        <f t="shared" si="30"/>
        <v/>
      </c>
      <c r="H80" s="5" t="str">
        <f t="shared" si="45"/>
        <v/>
      </c>
      <c r="I80" s="4"/>
      <c r="J80" s="2" t="str">
        <f t="shared" si="34"/>
        <v/>
      </c>
      <c r="K80" s="24" t="e">
        <f t="shared" si="35"/>
        <v>#VALUE!</v>
      </c>
      <c r="L80" s="24" t="e">
        <f t="shared" si="36"/>
        <v>#VALUE!</v>
      </c>
      <c r="M80" s="24" t="e">
        <f t="shared" si="37"/>
        <v>#VALUE!</v>
      </c>
      <c r="O80" s="34" t="e">
        <f t="shared" si="31"/>
        <v>#VALUE!</v>
      </c>
      <c r="P80" s="2" t="e">
        <f t="shared" si="32"/>
        <v>#VALUE!</v>
      </c>
      <c r="Q80" s="2" t="e">
        <f t="shared" si="38"/>
        <v>#VALUE!</v>
      </c>
      <c r="R80" s="2" t="e">
        <f t="shared" si="39"/>
        <v>#VALUE!</v>
      </c>
      <c r="S80" s="2" t="str">
        <f t="shared" si="40"/>
        <v>N</v>
      </c>
      <c r="T80" s="2" t="b">
        <f t="shared" si="28"/>
        <v>0</v>
      </c>
      <c r="U80" s="2" t="b">
        <f t="shared" si="41"/>
        <v>0</v>
      </c>
      <c r="V80" s="2" t="b">
        <f t="shared" si="29"/>
        <v>0</v>
      </c>
      <c r="W80" s="2">
        <v>1</v>
      </c>
      <c r="X80" s="2">
        <v>100</v>
      </c>
    </row>
    <row r="81" spans="1:24" x14ac:dyDescent="0.25">
      <c r="A81" s="34">
        <v>44246</v>
      </c>
      <c r="B81" s="4"/>
      <c r="C81" s="5" t="str">
        <f t="shared" si="44"/>
        <v/>
      </c>
      <c r="D81" s="4" t="str">
        <f t="shared" si="33"/>
        <v/>
      </c>
      <c r="E81" s="4">
        <f t="shared" si="42"/>
        <v>80</v>
      </c>
      <c r="F81" s="34" t="e">
        <f t="shared" si="43"/>
        <v>#VALUE!</v>
      </c>
      <c r="G81" s="4" t="str">
        <f t="shared" si="30"/>
        <v/>
      </c>
      <c r="H81" s="5" t="str">
        <f t="shared" si="45"/>
        <v/>
      </c>
      <c r="I81" s="4"/>
      <c r="J81" s="2" t="str">
        <f t="shared" si="34"/>
        <v/>
      </c>
      <c r="K81" s="24" t="e">
        <f t="shared" si="35"/>
        <v>#VALUE!</v>
      </c>
      <c r="L81" s="24" t="e">
        <f t="shared" si="36"/>
        <v>#VALUE!</v>
      </c>
      <c r="M81" s="24" t="e">
        <f t="shared" si="37"/>
        <v>#VALUE!</v>
      </c>
      <c r="O81" s="34" t="e">
        <f t="shared" si="31"/>
        <v>#VALUE!</v>
      </c>
      <c r="P81" s="2" t="e">
        <f t="shared" si="32"/>
        <v>#VALUE!</v>
      </c>
      <c r="Q81" s="2" t="e">
        <f t="shared" si="38"/>
        <v>#VALUE!</v>
      </c>
      <c r="R81" s="2" t="e">
        <f t="shared" si="39"/>
        <v>#VALUE!</v>
      </c>
      <c r="S81" s="2" t="str">
        <f t="shared" si="40"/>
        <v>N</v>
      </c>
      <c r="T81" s="2" t="b">
        <f t="shared" si="28"/>
        <v>0</v>
      </c>
      <c r="U81" s="2" t="b">
        <f t="shared" si="41"/>
        <v>0</v>
      </c>
      <c r="V81" s="2" t="b">
        <f t="shared" si="29"/>
        <v>0</v>
      </c>
      <c r="W81" s="2">
        <v>2</v>
      </c>
      <c r="X81" s="2">
        <v>75</v>
      </c>
    </row>
    <row r="82" spans="1:24" x14ac:dyDescent="0.25">
      <c r="A82" s="34">
        <v>44253</v>
      </c>
      <c r="B82" s="4"/>
      <c r="C82" s="5" t="str">
        <f t="shared" si="44"/>
        <v/>
      </c>
      <c r="D82" s="4" t="str">
        <f t="shared" si="33"/>
        <v/>
      </c>
      <c r="E82" s="4">
        <f t="shared" si="42"/>
        <v>80</v>
      </c>
      <c r="F82" s="34" t="e">
        <f t="shared" si="43"/>
        <v>#VALUE!</v>
      </c>
      <c r="G82" s="4" t="str">
        <f t="shared" si="30"/>
        <v/>
      </c>
      <c r="H82" s="5" t="str">
        <f t="shared" si="45"/>
        <v/>
      </c>
      <c r="I82" s="4"/>
      <c r="J82" s="2" t="str">
        <f t="shared" si="34"/>
        <v/>
      </c>
      <c r="K82" s="24" t="e">
        <f t="shared" si="35"/>
        <v>#VALUE!</v>
      </c>
      <c r="L82" s="24" t="e">
        <f t="shared" si="36"/>
        <v>#VALUE!</v>
      </c>
      <c r="M82" s="24" t="e">
        <f t="shared" si="37"/>
        <v>#VALUE!</v>
      </c>
      <c r="O82" s="34" t="e">
        <f t="shared" si="31"/>
        <v>#VALUE!</v>
      </c>
      <c r="P82" s="2" t="e">
        <f t="shared" si="32"/>
        <v>#VALUE!</v>
      </c>
      <c r="Q82" s="2" t="e">
        <f t="shared" si="38"/>
        <v>#VALUE!</v>
      </c>
      <c r="R82" s="2" t="e">
        <f t="shared" si="39"/>
        <v>#VALUE!</v>
      </c>
      <c r="S82" s="2" t="str">
        <f t="shared" si="40"/>
        <v>N</v>
      </c>
      <c r="T82" s="2" t="b">
        <f t="shared" si="28"/>
        <v>0</v>
      </c>
      <c r="U82" s="2" t="b">
        <f t="shared" si="41"/>
        <v>0</v>
      </c>
      <c r="V82" s="2" t="b">
        <f t="shared" si="29"/>
        <v>0</v>
      </c>
      <c r="W82" s="2">
        <v>3</v>
      </c>
      <c r="X82" s="2">
        <v>65</v>
      </c>
    </row>
    <row r="83" spans="1:24" x14ac:dyDescent="0.25">
      <c r="A83" s="34">
        <v>44260</v>
      </c>
      <c r="B83" s="4"/>
      <c r="C83" s="5" t="str">
        <f t="shared" si="44"/>
        <v/>
      </c>
      <c r="D83" s="4" t="str">
        <f t="shared" si="33"/>
        <v/>
      </c>
      <c r="E83" s="4">
        <f t="shared" si="42"/>
        <v>80</v>
      </c>
      <c r="F83" s="34" t="e">
        <f t="shared" si="43"/>
        <v>#VALUE!</v>
      </c>
      <c r="G83" s="4" t="str">
        <f t="shared" si="30"/>
        <v/>
      </c>
      <c r="H83" s="5" t="str">
        <f t="shared" si="45"/>
        <v/>
      </c>
      <c r="I83" s="4"/>
      <c r="J83" s="2" t="str">
        <f t="shared" si="34"/>
        <v/>
      </c>
      <c r="K83" s="24" t="e">
        <f t="shared" si="35"/>
        <v>#VALUE!</v>
      </c>
      <c r="L83" s="24" t="e">
        <f t="shared" si="36"/>
        <v>#VALUE!</v>
      </c>
      <c r="M83" s="24" t="e">
        <f t="shared" si="37"/>
        <v>#VALUE!</v>
      </c>
      <c r="O83" s="34" t="e">
        <f t="shared" si="31"/>
        <v>#VALUE!</v>
      </c>
      <c r="P83" s="2" t="e">
        <f t="shared" si="32"/>
        <v>#VALUE!</v>
      </c>
      <c r="Q83" s="2" t="e">
        <f t="shared" si="38"/>
        <v>#VALUE!</v>
      </c>
      <c r="R83" s="2" t="e">
        <f t="shared" si="39"/>
        <v>#VALUE!</v>
      </c>
      <c r="S83" s="2" t="str">
        <f t="shared" si="40"/>
        <v>N</v>
      </c>
      <c r="T83" s="2" t="b">
        <f t="shared" si="28"/>
        <v>0</v>
      </c>
      <c r="U83" s="2" t="b">
        <f t="shared" si="41"/>
        <v>0</v>
      </c>
      <c r="V83" s="2" t="b">
        <f t="shared" si="29"/>
        <v>0</v>
      </c>
      <c r="W83" s="2">
        <v>4</v>
      </c>
      <c r="X83" s="2">
        <v>50</v>
      </c>
    </row>
    <row r="84" spans="1:24" x14ac:dyDescent="0.25">
      <c r="A84" s="34">
        <v>44267</v>
      </c>
      <c r="B84" s="4"/>
      <c r="C84" s="5" t="str">
        <f t="shared" si="44"/>
        <v/>
      </c>
      <c r="D84" s="4" t="str">
        <f t="shared" si="33"/>
        <v/>
      </c>
      <c r="E84" s="4">
        <f t="shared" si="42"/>
        <v>80</v>
      </c>
      <c r="F84" s="34" t="e">
        <f t="shared" si="43"/>
        <v>#VALUE!</v>
      </c>
      <c r="G84" s="4" t="str">
        <f t="shared" si="30"/>
        <v/>
      </c>
      <c r="H84" s="5" t="str">
        <f t="shared" si="45"/>
        <v/>
      </c>
      <c r="I84" s="4"/>
      <c r="J84" s="2" t="str">
        <f t="shared" si="34"/>
        <v/>
      </c>
      <c r="K84" s="24" t="e">
        <f t="shared" si="35"/>
        <v>#VALUE!</v>
      </c>
      <c r="L84" s="24" t="e">
        <f t="shared" si="36"/>
        <v>#VALUE!</v>
      </c>
      <c r="M84" s="24" t="e">
        <f t="shared" si="37"/>
        <v>#VALUE!</v>
      </c>
      <c r="O84" s="34" t="e">
        <f t="shared" si="31"/>
        <v>#VALUE!</v>
      </c>
      <c r="P84" s="2" t="e">
        <f t="shared" si="32"/>
        <v>#VALUE!</v>
      </c>
      <c r="Q84" s="2" t="e">
        <f t="shared" si="38"/>
        <v>#VALUE!</v>
      </c>
      <c r="R84" s="2" t="e">
        <f t="shared" si="39"/>
        <v>#VALUE!</v>
      </c>
      <c r="S84" s="2" t="str">
        <f t="shared" si="40"/>
        <v>N</v>
      </c>
      <c r="T84" s="2" t="b">
        <f t="shared" si="28"/>
        <v>0</v>
      </c>
      <c r="U84" s="2" t="b">
        <f t="shared" si="41"/>
        <v>0</v>
      </c>
      <c r="V84" s="2" t="b">
        <f t="shared" si="29"/>
        <v>0</v>
      </c>
    </row>
    <row r="85" spans="1:24" x14ac:dyDescent="0.25">
      <c r="A85" s="34">
        <v>44274</v>
      </c>
      <c r="B85" s="4"/>
      <c r="C85" s="5" t="str">
        <f t="shared" si="44"/>
        <v/>
      </c>
      <c r="D85" s="4" t="str">
        <f t="shared" si="33"/>
        <v/>
      </c>
      <c r="E85" s="4">
        <f t="shared" si="42"/>
        <v>80</v>
      </c>
      <c r="F85" s="34" t="e">
        <f t="shared" si="43"/>
        <v>#VALUE!</v>
      </c>
      <c r="G85" s="4" t="str">
        <f t="shared" si="30"/>
        <v/>
      </c>
      <c r="H85" s="5" t="str">
        <f t="shared" si="45"/>
        <v/>
      </c>
      <c r="I85" s="4"/>
      <c r="J85" s="2" t="str">
        <f t="shared" si="34"/>
        <v/>
      </c>
      <c r="K85" s="24" t="e">
        <f t="shared" si="35"/>
        <v>#VALUE!</v>
      </c>
      <c r="L85" s="24" t="e">
        <f t="shared" si="36"/>
        <v>#VALUE!</v>
      </c>
      <c r="M85" s="24" t="e">
        <f t="shared" si="37"/>
        <v>#VALUE!</v>
      </c>
      <c r="O85" s="34" t="e">
        <f t="shared" si="31"/>
        <v>#VALUE!</v>
      </c>
      <c r="P85" s="2" t="e">
        <f t="shared" si="32"/>
        <v>#VALUE!</v>
      </c>
      <c r="Q85" s="2" t="e">
        <f t="shared" si="38"/>
        <v>#VALUE!</v>
      </c>
      <c r="R85" s="2" t="e">
        <f t="shared" si="39"/>
        <v>#VALUE!</v>
      </c>
      <c r="S85" s="2" t="str">
        <f t="shared" si="40"/>
        <v>N</v>
      </c>
      <c r="T85" s="2" t="b">
        <f t="shared" si="28"/>
        <v>0</v>
      </c>
      <c r="U85" s="2" t="b">
        <f t="shared" si="41"/>
        <v>0</v>
      </c>
      <c r="V85" s="2" t="b">
        <f t="shared" si="29"/>
        <v>0</v>
      </c>
      <c r="W85" s="2">
        <v>1</v>
      </c>
      <c r="X85" s="1">
        <f>VLOOKUP(W85,W80:X83,2,FALSE)</f>
        <v>100</v>
      </c>
    </row>
    <row r="86" spans="1:24" x14ac:dyDescent="0.25">
      <c r="A86" s="34">
        <v>44281</v>
      </c>
      <c r="B86" s="4"/>
      <c r="C86" s="5" t="str">
        <f t="shared" si="44"/>
        <v/>
      </c>
      <c r="D86" s="4" t="str">
        <f t="shared" si="33"/>
        <v/>
      </c>
      <c r="E86" s="4">
        <f t="shared" si="42"/>
        <v>80</v>
      </c>
      <c r="F86" s="34" t="e">
        <f t="shared" si="43"/>
        <v>#VALUE!</v>
      </c>
      <c r="G86" s="4" t="str">
        <f t="shared" si="30"/>
        <v/>
      </c>
      <c r="H86" s="5" t="str">
        <f t="shared" si="45"/>
        <v/>
      </c>
      <c r="I86" s="4"/>
      <c r="J86" s="2" t="str">
        <f t="shared" si="34"/>
        <v/>
      </c>
      <c r="K86" s="24" t="e">
        <f t="shared" si="35"/>
        <v>#VALUE!</v>
      </c>
      <c r="L86" s="24" t="e">
        <f t="shared" si="36"/>
        <v>#VALUE!</v>
      </c>
      <c r="M86" s="24" t="e">
        <f t="shared" si="37"/>
        <v>#VALUE!</v>
      </c>
      <c r="O86" s="34" t="e">
        <f t="shared" si="31"/>
        <v>#VALUE!</v>
      </c>
      <c r="P86" s="2" t="e">
        <f t="shared" si="32"/>
        <v>#VALUE!</v>
      </c>
      <c r="Q86" s="2" t="e">
        <f t="shared" si="38"/>
        <v>#VALUE!</v>
      </c>
      <c r="R86" s="2" t="e">
        <f t="shared" si="39"/>
        <v>#VALUE!</v>
      </c>
      <c r="S86" s="2" t="str">
        <f t="shared" si="40"/>
        <v>N</v>
      </c>
      <c r="T86" s="2" t="b">
        <f t="shared" si="28"/>
        <v>0</v>
      </c>
      <c r="U86" s="2" t="b">
        <f t="shared" si="41"/>
        <v>0</v>
      </c>
      <c r="V86" s="2" t="b">
        <f t="shared" si="29"/>
        <v>0</v>
      </c>
    </row>
    <row r="87" spans="1:24" x14ac:dyDescent="0.25">
      <c r="A87" s="34">
        <v>44288</v>
      </c>
      <c r="B87" s="4"/>
      <c r="C87" s="5" t="str">
        <f t="shared" si="44"/>
        <v/>
      </c>
      <c r="D87" s="4" t="str">
        <f t="shared" si="33"/>
        <v/>
      </c>
      <c r="E87" s="4">
        <f t="shared" si="42"/>
        <v>80</v>
      </c>
      <c r="F87" s="34" t="e">
        <f t="shared" si="43"/>
        <v>#VALUE!</v>
      </c>
      <c r="G87" s="4" t="str">
        <f t="shared" si="30"/>
        <v/>
      </c>
      <c r="H87" s="5" t="str">
        <f t="shared" si="45"/>
        <v/>
      </c>
      <c r="I87" s="4"/>
      <c r="J87" s="2" t="str">
        <f t="shared" si="34"/>
        <v/>
      </c>
      <c r="K87" s="24" t="e">
        <f t="shared" si="35"/>
        <v>#VALUE!</v>
      </c>
      <c r="L87" s="24" t="e">
        <f t="shared" si="36"/>
        <v>#VALUE!</v>
      </c>
      <c r="M87" s="24" t="e">
        <f t="shared" si="37"/>
        <v>#VALUE!</v>
      </c>
      <c r="O87" s="34" t="e">
        <f t="shared" si="31"/>
        <v>#VALUE!</v>
      </c>
      <c r="P87" s="2" t="e">
        <f t="shared" si="32"/>
        <v>#VALUE!</v>
      </c>
      <c r="Q87" s="2" t="e">
        <f t="shared" si="38"/>
        <v>#VALUE!</v>
      </c>
      <c r="R87" s="2" t="e">
        <f t="shared" si="39"/>
        <v>#VALUE!</v>
      </c>
      <c r="S87" s="2" t="str">
        <f t="shared" si="40"/>
        <v>N</v>
      </c>
      <c r="T87" s="2" t="b">
        <f t="shared" si="28"/>
        <v>0</v>
      </c>
      <c r="U87" s="2" t="b">
        <f t="shared" si="41"/>
        <v>0</v>
      </c>
      <c r="V87" s="2" t="b">
        <f t="shared" si="29"/>
        <v>0</v>
      </c>
    </row>
    <row r="88" spans="1:24" x14ac:dyDescent="0.25">
      <c r="A88" s="34">
        <v>44295</v>
      </c>
      <c r="B88" s="4"/>
      <c r="C88" s="5" t="str">
        <f t="shared" si="44"/>
        <v/>
      </c>
      <c r="D88" s="4" t="str">
        <f t="shared" si="33"/>
        <v/>
      </c>
      <c r="E88" s="4">
        <f t="shared" si="42"/>
        <v>80</v>
      </c>
      <c r="F88" s="34" t="e">
        <f t="shared" si="43"/>
        <v>#VALUE!</v>
      </c>
      <c r="G88" s="4" t="str">
        <f t="shared" si="30"/>
        <v/>
      </c>
      <c r="H88" s="5" t="str">
        <f t="shared" si="45"/>
        <v/>
      </c>
      <c r="I88" s="4"/>
      <c r="J88" s="2" t="str">
        <f t="shared" si="34"/>
        <v/>
      </c>
      <c r="K88" s="24" t="e">
        <f t="shared" si="35"/>
        <v>#VALUE!</v>
      </c>
      <c r="L88" s="24" t="e">
        <f t="shared" si="36"/>
        <v>#VALUE!</v>
      </c>
      <c r="M88" s="24" t="e">
        <f t="shared" si="37"/>
        <v>#VALUE!</v>
      </c>
      <c r="O88" s="34" t="e">
        <f t="shared" si="31"/>
        <v>#VALUE!</v>
      </c>
      <c r="P88" s="2" t="e">
        <f t="shared" si="32"/>
        <v>#VALUE!</v>
      </c>
      <c r="Q88" s="2" t="e">
        <f t="shared" si="38"/>
        <v>#VALUE!</v>
      </c>
      <c r="R88" s="2" t="e">
        <f t="shared" si="39"/>
        <v>#VALUE!</v>
      </c>
      <c r="S88" s="2" t="str">
        <f t="shared" si="40"/>
        <v>N</v>
      </c>
      <c r="T88" s="2" t="b">
        <f t="shared" si="28"/>
        <v>0</v>
      </c>
      <c r="U88" s="2" t="b">
        <f t="shared" si="41"/>
        <v>0</v>
      </c>
      <c r="V88" s="2" t="b">
        <f t="shared" si="29"/>
        <v>0</v>
      </c>
    </row>
    <row r="89" spans="1:24" x14ac:dyDescent="0.25">
      <c r="A89" s="34">
        <v>44302</v>
      </c>
      <c r="B89" s="4"/>
      <c r="C89" s="5" t="str">
        <f t="shared" si="44"/>
        <v/>
      </c>
      <c r="D89" s="4" t="str">
        <f t="shared" si="33"/>
        <v/>
      </c>
      <c r="E89" s="4">
        <f t="shared" si="42"/>
        <v>80</v>
      </c>
      <c r="F89" s="34" t="e">
        <f t="shared" si="43"/>
        <v>#VALUE!</v>
      </c>
      <c r="G89" s="4" t="str">
        <f t="shared" si="30"/>
        <v/>
      </c>
      <c r="H89" s="5" t="str">
        <f t="shared" si="45"/>
        <v/>
      </c>
      <c r="I89" s="4"/>
      <c r="J89" s="2" t="str">
        <f t="shared" si="34"/>
        <v/>
      </c>
      <c r="K89" s="24" t="e">
        <f t="shared" si="35"/>
        <v>#VALUE!</v>
      </c>
      <c r="L89" s="24" t="e">
        <f t="shared" si="36"/>
        <v>#VALUE!</v>
      </c>
      <c r="M89" s="24" t="e">
        <f t="shared" si="37"/>
        <v>#VALUE!</v>
      </c>
      <c r="O89" s="34" t="e">
        <f t="shared" si="31"/>
        <v>#VALUE!</v>
      </c>
      <c r="P89" s="2" t="e">
        <f t="shared" si="32"/>
        <v>#VALUE!</v>
      </c>
      <c r="Q89" s="2" t="e">
        <f t="shared" si="38"/>
        <v>#VALUE!</v>
      </c>
      <c r="R89" s="2" t="e">
        <f t="shared" si="39"/>
        <v>#VALUE!</v>
      </c>
      <c r="S89" s="2" t="str">
        <f t="shared" si="40"/>
        <v>N</v>
      </c>
      <c r="T89" s="2" t="b">
        <f t="shared" si="28"/>
        <v>0</v>
      </c>
      <c r="U89" s="2" t="b">
        <f t="shared" si="41"/>
        <v>0</v>
      </c>
      <c r="V89" s="2" t="b">
        <f t="shared" si="29"/>
        <v>0</v>
      </c>
    </row>
    <row r="90" spans="1:24" x14ac:dyDescent="0.25">
      <c r="A90" s="34">
        <v>44309</v>
      </c>
      <c r="B90" s="4"/>
      <c r="C90" s="5" t="str">
        <f t="shared" si="44"/>
        <v/>
      </c>
      <c r="D90" s="4" t="str">
        <f t="shared" si="33"/>
        <v/>
      </c>
      <c r="E90" s="4">
        <f t="shared" si="42"/>
        <v>80</v>
      </c>
      <c r="F90" s="34" t="e">
        <f t="shared" si="43"/>
        <v>#VALUE!</v>
      </c>
      <c r="G90" s="4" t="str">
        <f t="shared" si="30"/>
        <v/>
      </c>
      <c r="H90" s="5" t="str">
        <f t="shared" si="45"/>
        <v/>
      </c>
      <c r="I90" s="4"/>
      <c r="J90" s="2" t="str">
        <f t="shared" si="34"/>
        <v/>
      </c>
      <c r="K90" s="24" t="e">
        <f t="shared" si="35"/>
        <v>#VALUE!</v>
      </c>
      <c r="L90" s="24" t="e">
        <f t="shared" si="36"/>
        <v>#VALUE!</v>
      </c>
      <c r="M90" s="24" t="e">
        <f t="shared" si="37"/>
        <v>#VALUE!</v>
      </c>
      <c r="O90" s="34" t="e">
        <f t="shared" si="31"/>
        <v>#VALUE!</v>
      </c>
      <c r="P90" s="2" t="e">
        <f t="shared" si="32"/>
        <v>#VALUE!</v>
      </c>
      <c r="Q90" s="2" t="e">
        <f t="shared" si="38"/>
        <v>#VALUE!</v>
      </c>
      <c r="R90" s="2" t="e">
        <f t="shared" si="39"/>
        <v>#VALUE!</v>
      </c>
      <c r="S90" s="2" t="str">
        <f t="shared" si="40"/>
        <v>N</v>
      </c>
      <c r="T90" s="2" t="b">
        <f t="shared" si="28"/>
        <v>0</v>
      </c>
      <c r="U90" s="2" t="b">
        <f t="shared" si="41"/>
        <v>0</v>
      </c>
      <c r="V90" s="2" t="b">
        <f t="shared" si="29"/>
        <v>0</v>
      </c>
    </row>
    <row r="91" spans="1:24" x14ac:dyDescent="0.25">
      <c r="A91" s="34">
        <v>44316</v>
      </c>
      <c r="B91" s="4"/>
      <c r="C91" s="5" t="str">
        <f t="shared" si="44"/>
        <v/>
      </c>
      <c r="D91" s="4" t="str">
        <f t="shared" si="33"/>
        <v/>
      </c>
      <c r="E91" s="4">
        <f t="shared" si="42"/>
        <v>80</v>
      </c>
      <c r="F91" s="34" t="e">
        <f t="shared" si="43"/>
        <v>#VALUE!</v>
      </c>
      <c r="G91" s="4" t="str">
        <f t="shared" si="30"/>
        <v/>
      </c>
      <c r="H91" s="5" t="str">
        <f t="shared" si="45"/>
        <v/>
      </c>
      <c r="I91" s="4"/>
      <c r="J91" s="2" t="str">
        <f t="shared" si="34"/>
        <v/>
      </c>
      <c r="K91" s="24" t="e">
        <f t="shared" si="35"/>
        <v>#VALUE!</v>
      </c>
      <c r="L91" s="24" t="e">
        <f t="shared" si="36"/>
        <v>#VALUE!</v>
      </c>
      <c r="M91" s="24" t="e">
        <f t="shared" si="37"/>
        <v>#VALUE!</v>
      </c>
      <c r="O91" s="34" t="e">
        <f t="shared" si="31"/>
        <v>#VALUE!</v>
      </c>
      <c r="P91" s="2" t="e">
        <f t="shared" si="32"/>
        <v>#VALUE!</v>
      </c>
      <c r="Q91" s="2" t="e">
        <f t="shared" si="38"/>
        <v>#VALUE!</v>
      </c>
      <c r="R91" s="2" t="e">
        <f t="shared" si="39"/>
        <v>#VALUE!</v>
      </c>
      <c r="S91" s="2" t="str">
        <f t="shared" si="40"/>
        <v>N</v>
      </c>
      <c r="T91" s="2" t="b">
        <f t="shared" si="28"/>
        <v>0</v>
      </c>
      <c r="U91" s="2" t="b">
        <f t="shared" si="41"/>
        <v>0</v>
      </c>
      <c r="V91" s="2" t="b">
        <f t="shared" si="29"/>
        <v>0</v>
      </c>
    </row>
    <row r="92" spans="1:24" x14ac:dyDescent="0.25">
      <c r="A92" s="34">
        <v>44323</v>
      </c>
      <c r="B92" s="4"/>
      <c r="C92" s="5" t="str">
        <f t="shared" si="44"/>
        <v/>
      </c>
      <c r="D92" s="4" t="str">
        <f t="shared" si="33"/>
        <v/>
      </c>
      <c r="E92" s="4">
        <f t="shared" si="42"/>
        <v>80</v>
      </c>
      <c r="F92" s="34" t="e">
        <f t="shared" si="43"/>
        <v>#VALUE!</v>
      </c>
      <c r="G92" s="4" t="str">
        <f t="shared" si="30"/>
        <v/>
      </c>
      <c r="H92" s="5" t="str">
        <f t="shared" si="45"/>
        <v/>
      </c>
      <c r="I92" s="4"/>
      <c r="J92" s="2" t="str">
        <f t="shared" si="34"/>
        <v/>
      </c>
      <c r="K92" s="24" t="e">
        <f t="shared" si="35"/>
        <v>#VALUE!</v>
      </c>
      <c r="L92" s="24" t="e">
        <f t="shared" si="36"/>
        <v>#VALUE!</v>
      </c>
      <c r="M92" s="24" t="e">
        <f t="shared" si="37"/>
        <v>#VALUE!</v>
      </c>
      <c r="O92" s="34" t="e">
        <f t="shared" si="31"/>
        <v>#VALUE!</v>
      </c>
      <c r="P92" s="2" t="e">
        <f t="shared" si="32"/>
        <v>#VALUE!</v>
      </c>
      <c r="Q92" s="2" t="e">
        <f t="shared" si="38"/>
        <v>#VALUE!</v>
      </c>
      <c r="R92" s="2" t="e">
        <f t="shared" si="39"/>
        <v>#VALUE!</v>
      </c>
      <c r="S92" s="2" t="str">
        <f t="shared" si="40"/>
        <v>N</v>
      </c>
      <c r="T92" s="2" t="b">
        <f t="shared" si="28"/>
        <v>0</v>
      </c>
      <c r="U92" s="2" t="b">
        <f t="shared" si="41"/>
        <v>0</v>
      </c>
      <c r="V92" s="2" t="b">
        <f t="shared" si="29"/>
        <v>0</v>
      </c>
      <c r="W92" s="2">
        <v>1</v>
      </c>
      <c r="X92" s="2">
        <v>1</v>
      </c>
    </row>
    <row r="93" spans="1:24" x14ac:dyDescent="0.25">
      <c r="A93" s="34">
        <v>44330</v>
      </c>
      <c r="B93" s="4"/>
      <c r="C93" s="5" t="str">
        <f t="shared" si="44"/>
        <v/>
      </c>
      <c r="D93" s="4" t="str">
        <f t="shared" si="33"/>
        <v/>
      </c>
      <c r="E93" s="4">
        <f t="shared" si="42"/>
        <v>80</v>
      </c>
      <c r="F93" s="34" t="e">
        <f t="shared" si="43"/>
        <v>#VALUE!</v>
      </c>
      <c r="G93" s="4" t="str">
        <f t="shared" si="30"/>
        <v/>
      </c>
      <c r="H93" s="5" t="str">
        <f t="shared" si="45"/>
        <v/>
      </c>
      <c r="I93" s="4"/>
      <c r="J93" s="2" t="str">
        <f t="shared" si="34"/>
        <v/>
      </c>
      <c r="K93" s="24" t="e">
        <f t="shared" si="35"/>
        <v>#VALUE!</v>
      </c>
      <c r="L93" s="24" t="e">
        <f t="shared" si="36"/>
        <v>#VALUE!</v>
      </c>
      <c r="M93" s="24" t="e">
        <f t="shared" si="37"/>
        <v>#VALUE!</v>
      </c>
      <c r="O93" s="34" t="e">
        <f t="shared" si="31"/>
        <v>#VALUE!</v>
      </c>
      <c r="P93" s="2" t="e">
        <f t="shared" si="32"/>
        <v>#VALUE!</v>
      </c>
      <c r="Q93" s="2" t="e">
        <f t="shared" si="38"/>
        <v>#VALUE!</v>
      </c>
      <c r="R93" s="2" t="e">
        <f t="shared" si="39"/>
        <v>#VALUE!</v>
      </c>
      <c r="S93" s="2" t="str">
        <f t="shared" si="40"/>
        <v>N</v>
      </c>
      <c r="T93" s="2" t="b">
        <f t="shared" si="28"/>
        <v>0</v>
      </c>
      <c r="U93" s="2" t="b">
        <f t="shared" si="41"/>
        <v>0</v>
      </c>
      <c r="V93" s="2" t="b">
        <f t="shared" si="29"/>
        <v>0</v>
      </c>
      <c r="W93" s="2">
        <v>2</v>
      </c>
      <c r="X93" s="2">
        <v>2</v>
      </c>
    </row>
    <row r="94" spans="1:24" x14ac:dyDescent="0.25">
      <c r="A94" s="34">
        <v>44337</v>
      </c>
      <c r="B94" s="4"/>
      <c r="C94" s="5" t="str">
        <f t="shared" si="44"/>
        <v/>
      </c>
      <c r="D94" s="4" t="str">
        <f t="shared" si="33"/>
        <v/>
      </c>
      <c r="E94" s="4">
        <f t="shared" si="42"/>
        <v>80</v>
      </c>
      <c r="F94" s="34" t="e">
        <f t="shared" si="43"/>
        <v>#VALUE!</v>
      </c>
      <c r="G94" s="4" t="str">
        <f t="shared" si="30"/>
        <v/>
      </c>
      <c r="H94" s="5" t="str">
        <f t="shared" si="45"/>
        <v/>
      </c>
      <c r="I94" s="4"/>
      <c r="J94" s="2" t="str">
        <f t="shared" si="34"/>
        <v/>
      </c>
      <c r="K94" s="24" t="e">
        <f t="shared" si="35"/>
        <v>#VALUE!</v>
      </c>
      <c r="L94" s="24" t="e">
        <f t="shared" si="36"/>
        <v>#VALUE!</v>
      </c>
      <c r="M94" s="24" t="e">
        <f t="shared" si="37"/>
        <v>#VALUE!</v>
      </c>
      <c r="O94" s="34" t="e">
        <f t="shared" si="31"/>
        <v>#VALUE!</v>
      </c>
      <c r="P94" s="2" t="e">
        <f t="shared" si="32"/>
        <v>#VALUE!</v>
      </c>
      <c r="Q94" s="2" t="e">
        <f t="shared" si="38"/>
        <v>#VALUE!</v>
      </c>
      <c r="R94" s="2" t="e">
        <f t="shared" si="39"/>
        <v>#VALUE!</v>
      </c>
      <c r="S94" s="2" t="str">
        <f t="shared" si="40"/>
        <v>N</v>
      </c>
      <c r="T94" s="2" t="b">
        <f t="shared" ref="T94:T115" si="46">ISBLANK(O94)</f>
        <v>0</v>
      </c>
      <c r="U94" s="2" t="b">
        <f t="shared" si="41"/>
        <v>0</v>
      </c>
      <c r="V94" s="2" t="b">
        <f t="shared" si="29"/>
        <v>0</v>
      </c>
      <c r="W94" s="2">
        <v>3</v>
      </c>
      <c r="X94" s="2">
        <v>3</v>
      </c>
    </row>
    <row r="95" spans="1:24" x14ac:dyDescent="0.25">
      <c r="A95" s="34">
        <v>44344</v>
      </c>
      <c r="B95" s="4"/>
      <c r="C95" s="5" t="str">
        <f t="shared" si="44"/>
        <v/>
      </c>
      <c r="D95" s="4" t="str">
        <f t="shared" si="33"/>
        <v/>
      </c>
      <c r="E95" s="4">
        <f t="shared" si="42"/>
        <v>80</v>
      </c>
      <c r="F95" s="34" t="e">
        <f t="shared" si="43"/>
        <v>#VALUE!</v>
      </c>
      <c r="G95" s="4" t="str">
        <f t="shared" si="30"/>
        <v/>
      </c>
      <c r="H95" s="5" t="str">
        <f t="shared" si="45"/>
        <v/>
      </c>
      <c r="I95" s="4"/>
      <c r="J95" s="2" t="str">
        <f t="shared" si="34"/>
        <v/>
      </c>
      <c r="K95" s="24" t="e">
        <f t="shared" si="35"/>
        <v>#VALUE!</v>
      </c>
      <c r="L95" s="24" t="e">
        <f t="shared" si="36"/>
        <v>#VALUE!</v>
      </c>
      <c r="M95" s="24" t="e">
        <f t="shared" si="37"/>
        <v>#VALUE!</v>
      </c>
      <c r="O95" s="34" t="e">
        <f t="shared" si="31"/>
        <v>#VALUE!</v>
      </c>
      <c r="P95" s="2" t="e">
        <f t="shared" si="32"/>
        <v>#VALUE!</v>
      </c>
      <c r="Q95" s="2" t="e">
        <f t="shared" si="38"/>
        <v>#VALUE!</v>
      </c>
      <c r="R95" s="2" t="e">
        <f t="shared" si="39"/>
        <v>#VALUE!</v>
      </c>
      <c r="S95" s="2" t="str">
        <f t="shared" si="40"/>
        <v>N</v>
      </c>
      <c r="T95" s="2" t="b">
        <f t="shared" si="46"/>
        <v>0</v>
      </c>
      <c r="U95" s="2" t="b">
        <f t="shared" si="41"/>
        <v>0</v>
      </c>
      <c r="V95" s="2" t="b">
        <f t="shared" si="29"/>
        <v>0</v>
      </c>
      <c r="W95" s="2">
        <v>4</v>
      </c>
      <c r="X95" s="2">
        <v>4</v>
      </c>
    </row>
    <row r="96" spans="1:24" x14ac:dyDescent="0.25">
      <c r="A96" s="34">
        <v>44351</v>
      </c>
      <c r="B96" s="4"/>
      <c r="C96" s="5" t="str">
        <f t="shared" si="44"/>
        <v/>
      </c>
      <c r="D96" s="4" t="str">
        <f t="shared" si="33"/>
        <v/>
      </c>
      <c r="E96" s="4">
        <f t="shared" si="42"/>
        <v>80</v>
      </c>
      <c r="F96" s="34" t="e">
        <f t="shared" si="43"/>
        <v>#VALUE!</v>
      </c>
      <c r="G96" s="4" t="str">
        <f t="shared" si="30"/>
        <v/>
      </c>
      <c r="H96" s="5" t="str">
        <f t="shared" si="45"/>
        <v/>
      </c>
      <c r="I96" s="4"/>
      <c r="J96" s="2" t="str">
        <f t="shared" si="34"/>
        <v/>
      </c>
      <c r="K96" s="24" t="e">
        <f t="shared" si="35"/>
        <v>#VALUE!</v>
      </c>
      <c r="L96" s="24" t="e">
        <f t="shared" si="36"/>
        <v>#VALUE!</v>
      </c>
      <c r="M96" s="24" t="e">
        <f t="shared" si="37"/>
        <v>#VALUE!</v>
      </c>
      <c r="O96" s="34" t="e">
        <f t="shared" si="31"/>
        <v>#VALUE!</v>
      </c>
      <c r="P96" s="2" t="e">
        <f t="shared" si="32"/>
        <v>#VALUE!</v>
      </c>
      <c r="Q96" s="2" t="e">
        <f t="shared" si="38"/>
        <v>#VALUE!</v>
      </c>
      <c r="R96" s="2" t="e">
        <f t="shared" si="39"/>
        <v>#VALUE!</v>
      </c>
      <c r="S96" s="2" t="str">
        <f t="shared" si="40"/>
        <v>N</v>
      </c>
      <c r="T96" s="2" t="b">
        <f t="shared" si="46"/>
        <v>0</v>
      </c>
      <c r="U96" s="2" t="b">
        <f t="shared" si="41"/>
        <v>0</v>
      </c>
      <c r="V96" s="2" t="b">
        <f t="shared" ref="V96:V115" si="47">ISNUMBER(O96)</f>
        <v>0</v>
      </c>
      <c r="W96" s="2">
        <v>5</v>
      </c>
      <c r="X96" s="2">
        <v>5</v>
      </c>
    </row>
    <row r="97" spans="1:24" x14ac:dyDescent="0.25">
      <c r="A97" s="34">
        <v>44358</v>
      </c>
      <c r="B97" s="4"/>
      <c r="C97" s="5" t="str">
        <f t="shared" si="44"/>
        <v/>
      </c>
      <c r="D97" s="4" t="str">
        <f t="shared" si="33"/>
        <v/>
      </c>
      <c r="E97" s="4">
        <f t="shared" si="42"/>
        <v>80</v>
      </c>
      <c r="F97" s="34" t="e">
        <f t="shared" si="43"/>
        <v>#VALUE!</v>
      </c>
      <c r="G97" s="4" t="str">
        <f t="shared" si="30"/>
        <v/>
      </c>
      <c r="H97" s="5" t="str">
        <f t="shared" si="45"/>
        <v/>
      </c>
      <c r="I97" s="4"/>
      <c r="J97" s="2" t="str">
        <f t="shared" si="34"/>
        <v/>
      </c>
      <c r="K97" s="24" t="e">
        <f t="shared" si="35"/>
        <v>#VALUE!</v>
      </c>
      <c r="L97" s="24" t="e">
        <f t="shared" si="36"/>
        <v>#VALUE!</v>
      </c>
      <c r="M97" s="24" t="e">
        <f t="shared" si="37"/>
        <v>#VALUE!</v>
      </c>
      <c r="O97" s="34" t="e">
        <f t="shared" si="31"/>
        <v>#VALUE!</v>
      </c>
      <c r="P97" s="2" t="e">
        <f t="shared" si="32"/>
        <v>#VALUE!</v>
      </c>
      <c r="Q97" s="2" t="e">
        <f t="shared" si="38"/>
        <v>#VALUE!</v>
      </c>
      <c r="R97" s="2" t="e">
        <f t="shared" si="39"/>
        <v>#VALUE!</v>
      </c>
      <c r="S97" s="2" t="str">
        <f t="shared" si="40"/>
        <v>N</v>
      </c>
      <c r="T97" s="2" t="b">
        <f t="shared" si="46"/>
        <v>0</v>
      </c>
      <c r="U97" s="2" t="b">
        <f t="shared" si="41"/>
        <v>0</v>
      </c>
      <c r="V97" s="2" t="b">
        <f t="shared" si="47"/>
        <v>0</v>
      </c>
      <c r="W97" s="2">
        <v>6</v>
      </c>
      <c r="X97" s="2">
        <v>6</v>
      </c>
    </row>
    <row r="98" spans="1:24" x14ac:dyDescent="0.25">
      <c r="A98" s="34">
        <v>44365</v>
      </c>
      <c r="B98" s="4"/>
      <c r="C98" s="5" t="str">
        <f t="shared" si="44"/>
        <v/>
      </c>
      <c r="D98" s="4" t="str">
        <f t="shared" si="33"/>
        <v/>
      </c>
      <c r="E98" s="4">
        <f t="shared" si="42"/>
        <v>80</v>
      </c>
      <c r="F98" s="34" t="e">
        <f t="shared" si="43"/>
        <v>#VALUE!</v>
      </c>
      <c r="G98" s="4" t="str">
        <f t="shared" si="30"/>
        <v/>
      </c>
      <c r="H98" s="5" t="str">
        <f t="shared" si="45"/>
        <v/>
      </c>
      <c r="I98" s="4"/>
      <c r="J98" s="2" t="str">
        <f t="shared" si="34"/>
        <v/>
      </c>
      <c r="K98" s="24" t="e">
        <f t="shared" si="35"/>
        <v>#VALUE!</v>
      </c>
      <c r="L98" s="24" t="e">
        <f t="shared" si="36"/>
        <v>#VALUE!</v>
      </c>
      <c r="M98" s="24" t="e">
        <f t="shared" si="37"/>
        <v>#VALUE!</v>
      </c>
      <c r="O98" s="34" t="e">
        <f t="shared" si="31"/>
        <v>#VALUE!</v>
      </c>
      <c r="P98" s="2" t="e">
        <f t="shared" si="32"/>
        <v>#VALUE!</v>
      </c>
      <c r="Q98" s="2" t="e">
        <f t="shared" si="38"/>
        <v>#VALUE!</v>
      </c>
      <c r="R98" s="2" t="e">
        <f t="shared" si="39"/>
        <v>#VALUE!</v>
      </c>
      <c r="S98" s="2" t="str">
        <f t="shared" si="40"/>
        <v>N</v>
      </c>
      <c r="T98" s="2" t="b">
        <f t="shared" si="46"/>
        <v>0</v>
      </c>
      <c r="U98" s="2" t="b">
        <f t="shared" si="41"/>
        <v>0</v>
      </c>
      <c r="V98" s="2" t="b">
        <f t="shared" si="47"/>
        <v>0</v>
      </c>
      <c r="W98" s="2">
        <v>7</v>
      </c>
      <c r="X98" s="2">
        <v>7</v>
      </c>
    </row>
    <row r="99" spans="1:24" x14ac:dyDescent="0.25">
      <c r="A99" s="34">
        <v>44372</v>
      </c>
      <c r="B99" s="4"/>
      <c r="C99" s="5" t="str">
        <f t="shared" si="44"/>
        <v/>
      </c>
      <c r="D99" s="4" t="str">
        <f t="shared" si="33"/>
        <v/>
      </c>
      <c r="E99" s="4">
        <f t="shared" si="42"/>
        <v>80</v>
      </c>
      <c r="F99" s="34" t="e">
        <f t="shared" si="43"/>
        <v>#VALUE!</v>
      </c>
      <c r="G99" s="4" t="str">
        <f t="shared" si="30"/>
        <v/>
      </c>
      <c r="H99" s="5" t="str">
        <f t="shared" si="45"/>
        <v/>
      </c>
      <c r="I99" s="4"/>
      <c r="J99" s="2" t="str">
        <f t="shared" si="34"/>
        <v/>
      </c>
      <c r="K99" s="24" t="e">
        <f t="shared" si="35"/>
        <v>#VALUE!</v>
      </c>
      <c r="L99" s="24" t="e">
        <f t="shared" si="36"/>
        <v>#VALUE!</v>
      </c>
      <c r="M99" s="24" t="e">
        <f t="shared" si="37"/>
        <v>#VALUE!</v>
      </c>
      <c r="O99" s="34" t="e">
        <f t="shared" si="31"/>
        <v>#VALUE!</v>
      </c>
      <c r="P99" s="2" t="e">
        <f t="shared" si="32"/>
        <v>#VALUE!</v>
      </c>
      <c r="Q99" s="2" t="e">
        <f t="shared" si="38"/>
        <v>#VALUE!</v>
      </c>
      <c r="R99" s="2" t="e">
        <f t="shared" si="39"/>
        <v>#VALUE!</v>
      </c>
      <c r="S99" s="2" t="str">
        <f t="shared" si="40"/>
        <v>N</v>
      </c>
      <c r="T99" s="2" t="b">
        <f t="shared" si="46"/>
        <v>0</v>
      </c>
      <c r="U99" s="2" t="b">
        <f t="shared" si="41"/>
        <v>0</v>
      </c>
      <c r="V99" s="2" t="b">
        <f t="shared" si="47"/>
        <v>0</v>
      </c>
      <c r="W99" s="2">
        <v>8</v>
      </c>
      <c r="X99" s="2">
        <v>8</v>
      </c>
    </row>
    <row r="100" spans="1:24" x14ac:dyDescent="0.25">
      <c r="A100" s="34">
        <v>44379</v>
      </c>
      <c r="B100" s="4"/>
      <c r="C100" s="5" t="str">
        <f t="shared" si="44"/>
        <v/>
      </c>
      <c r="D100" s="4" t="str">
        <f t="shared" si="33"/>
        <v/>
      </c>
      <c r="E100" s="4">
        <f t="shared" si="42"/>
        <v>80</v>
      </c>
      <c r="F100" s="34" t="e">
        <f t="shared" si="43"/>
        <v>#VALUE!</v>
      </c>
      <c r="G100" s="4" t="str">
        <f t="shared" si="30"/>
        <v/>
      </c>
      <c r="H100" s="5" t="str">
        <f t="shared" si="45"/>
        <v/>
      </c>
      <c r="I100" s="4"/>
      <c r="J100" s="2" t="str">
        <f t="shared" si="34"/>
        <v/>
      </c>
      <c r="K100" s="24" t="e">
        <f t="shared" si="35"/>
        <v>#VALUE!</v>
      </c>
      <c r="L100" s="24" t="e">
        <f t="shared" si="36"/>
        <v>#VALUE!</v>
      </c>
      <c r="M100" s="24" t="e">
        <f t="shared" si="37"/>
        <v>#VALUE!</v>
      </c>
      <c r="O100" s="34" t="e">
        <f t="shared" si="31"/>
        <v>#VALUE!</v>
      </c>
      <c r="P100" s="2" t="e">
        <f t="shared" si="32"/>
        <v>#VALUE!</v>
      </c>
      <c r="Q100" s="2" t="e">
        <f t="shared" si="38"/>
        <v>#VALUE!</v>
      </c>
      <c r="R100" s="2" t="e">
        <f t="shared" si="39"/>
        <v>#VALUE!</v>
      </c>
      <c r="S100" s="2" t="str">
        <f t="shared" si="40"/>
        <v>N</v>
      </c>
      <c r="T100" s="2" t="b">
        <f t="shared" si="46"/>
        <v>0</v>
      </c>
      <c r="U100" s="2" t="b">
        <f t="shared" si="41"/>
        <v>0</v>
      </c>
      <c r="V100" s="2" t="b">
        <f t="shared" si="47"/>
        <v>0</v>
      </c>
      <c r="W100" s="2">
        <v>9</v>
      </c>
      <c r="X100" s="2">
        <v>9</v>
      </c>
    </row>
    <row r="101" spans="1:24" x14ac:dyDescent="0.25">
      <c r="A101" s="34">
        <v>44386</v>
      </c>
      <c r="B101" s="4"/>
      <c r="C101" s="5" t="str">
        <f t="shared" si="44"/>
        <v/>
      </c>
      <c r="D101" s="4" t="str">
        <f t="shared" si="33"/>
        <v/>
      </c>
      <c r="E101" s="4">
        <f t="shared" si="42"/>
        <v>80</v>
      </c>
      <c r="F101" s="34" t="e">
        <f t="shared" si="43"/>
        <v>#VALUE!</v>
      </c>
      <c r="G101" s="4" t="str">
        <f t="shared" si="30"/>
        <v/>
      </c>
      <c r="H101" s="5" t="str">
        <f t="shared" si="45"/>
        <v/>
      </c>
      <c r="I101" s="4"/>
      <c r="J101" s="2" t="str">
        <f t="shared" si="34"/>
        <v/>
      </c>
      <c r="K101" s="24" t="e">
        <f t="shared" si="35"/>
        <v>#VALUE!</v>
      </c>
      <c r="L101" s="24" t="e">
        <f t="shared" si="36"/>
        <v>#VALUE!</v>
      </c>
      <c r="M101" s="24" t="e">
        <f t="shared" si="37"/>
        <v>#VALUE!</v>
      </c>
      <c r="O101" s="34" t="e">
        <f t="shared" si="31"/>
        <v>#VALUE!</v>
      </c>
      <c r="P101" s="2" t="e">
        <f t="shared" si="32"/>
        <v>#VALUE!</v>
      </c>
      <c r="Q101" s="2" t="e">
        <f t="shared" si="38"/>
        <v>#VALUE!</v>
      </c>
      <c r="R101" s="2" t="e">
        <f t="shared" si="39"/>
        <v>#VALUE!</v>
      </c>
      <c r="S101" s="2" t="str">
        <f t="shared" si="40"/>
        <v>N</v>
      </c>
      <c r="T101" s="2" t="b">
        <f t="shared" si="46"/>
        <v>0</v>
      </c>
      <c r="U101" s="2" t="b">
        <f t="shared" si="41"/>
        <v>0</v>
      </c>
      <c r="V101" s="2" t="b">
        <f t="shared" si="47"/>
        <v>0</v>
      </c>
      <c r="W101" s="2">
        <v>10</v>
      </c>
      <c r="X101" s="2">
        <v>10</v>
      </c>
    </row>
    <row r="102" spans="1:24" x14ac:dyDescent="0.25">
      <c r="A102" s="34">
        <v>44393</v>
      </c>
      <c r="B102" s="4"/>
      <c r="C102" s="5" t="str">
        <f t="shared" si="44"/>
        <v/>
      </c>
      <c r="D102" s="4" t="str">
        <f t="shared" si="33"/>
        <v/>
      </c>
      <c r="E102" s="4">
        <f t="shared" si="42"/>
        <v>80</v>
      </c>
      <c r="F102" s="34" t="e">
        <f t="shared" si="43"/>
        <v>#VALUE!</v>
      </c>
      <c r="G102" s="4" t="str">
        <f t="shared" si="30"/>
        <v/>
      </c>
      <c r="H102" s="5" t="str">
        <f t="shared" si="45"/>
        <v/>
      </c>
      <c r="I102" s="4"/>
      <c r="J102" s="2" t="str">
        <f t="shared" si="34"/>
        <v/>
      </c>
      <c r="K102" s="24" t="e">
        <f t="shared" si="35"/>
        <v>#VALUE!</v>
      </c>
      <c r="L102" s="24" t="e">
        <f t="shared" si="36"/>
        <v>#VALUE!</v>
      </c>
      <c r="M102" s="24" t="e">
        <f t="shared" si="37"/>
        <v>#VALUE!</v>
      </c>
      <c r="O102" s="34" t="e">
        <f t="shared" si="31"/>
        <v>#VALUE!</v>
      </c>
      <c r="P102" s="2" t="e">
        <f t="shared" si="32"/>
        <v>#VALUE!</v>
      </c>
      <c r="Q102" s="2" t="e">
        <f t="shared" si="38"/>
        <v>#VALUE!</v>
      </c>
      <c r="R102" s="2" t="e">
        <f t="shared" si="39"/>
        <v>#VALUE!</v>
      </c>
      <c r="S102" s="2" t="str">
        <f t="shared" si="40"/>
        <v>N</v>
      </c>
      <c r="T102" s="2" t="b">
        <f t="shared" si="46"/>
        <v>0</v>
      </c>
      <c r="U102" s="2" t="b">
        <f t="shared" si="41"/>
        <v>0</v>
      </c>
      <c r="V102" s="2" t="b">
        <f t="shared" si="47"/>
        <v>0</v>
      </c>
      <c r="W102" s="2">
        <v>11</v>
      </c>
      <c r="X102" s="2">
        <v>20</v>
      </c>
    </row>
    <row r="103" spans="1:24" x14ac:dyDescent="0.25">
      <c r="A103" s="34">
        <v>44400</v>
      </c>
      <c r="B103" s="4"/>
      <c r="C103" s="5" t="str">
        <f t="shared" si="44"/>
        <v/>
      </c>
      <c r="D103" s="4" t="str">
        <f t="shared" si="33"/>
        <v/>
      </c>
      <c r="E103" s="4">
        <f t="shared" si="42"/>
        <v>80</v>
      </c>
      <c r="F103" s="34" t="e">
        <f t="shared" si="43"/>
        <v>#VALUE!</v>
      </c>
      <c r="G103" s="4" t="str">
        <f t="shared" si="30"/>
        <v/>
      </c>
      <c r="H103" s="5" t="str">
        <f t="shared" si="45"/>
        <v/>
      </c>
      <c r="I103" s="4"/>
      <c r="J103" s="2" t="str">
        <f t="shared" si="34"/>
        <v/>
      </c>
      <c r="K103" s="24" t="e">
        <f t="shared" si="35"/>
        <v>#VALUE!</v>
      </c>
      <c r="L103" s="24" t="e">
        <f t="shared" si="36"/>
        <v>#VALUE!</v>
      </c>
      <c r="M103" s="24" t="e">
        <f t="shared" si="37"/>
        <v>#VALUE!</v>
      </c>
      <c r="O103" s="34" t="e">
        <f t="shared" si="31"/>
        <v>#VALUE!</v>
      </c>
      <c r="P103" s="2" t="e">
        <f t="shared" si="32"/>
        <v>#VALUE!</v>
      </c>
      <c r="Q103" s="2" t="e">
        <f t="shared" si="38"/>
        <v>#VALUE!</v>
      </c>
      <c r="R103" s="2" t="e">
        <f t="shared" si="39"/>
        <v>#VALUE!</v>
      </c>
      <c r="S103" s="2" t="str">
        <f t="shared" si="40"/>
        <v>N</v>
      </c>
      <c r="T103" s="2" t="b">
        <f t="shared" si="46"/>
        <v>0</v>
      </c>
      <c r="U103" s="2" t="b">
        <f t="shared" si="41"/>
        <v>0</v>
      </c>
      <c r="V103" s="2" t="b">
        <f t="shared" si="47"/>
        <v>0</v>
      </c>
      <c r="W103" s="2">
        <v>12</v>
      </c>
      <c r="X103" s="2">
        <v>30</v>
      </c>
    </row>
    <row r="104" spans="1:24" x14ac:dyDescent="0.25">
      <c r="A104" s="34">
        <v>44407</v>
      </c>
      <c r="B104" s="4"/>
      <c r="C104" s="5" t="str">
        <f t="shared" si="44"/>
        <v/>
      </c>
      <c r="D104" s="4" t="str">
        <f t="shared" si="33"/>
        <v/>
      </c>
      <c r="E104" s="4">
        <f t="shared" si="42"/>
        <v>80</v>
      </c>
      <c r="F104" s="34" t="e">
        <f t="shared" si="43"/>
        <v>#VALUE!</v>
      </c>
      <c r="G104" s="4" t="str">
        <f t="shared" si="30"/>
        <v/>
      </c>
      <c r="H104" s="5" t="str">
        <f t="shared" si="45"/>
        <v/>
      </c>
      <c r="I104" s="4"/>
      <c r="J104" s="2" t="str">
        <f t="shared" si="34"/>
        <v/>
      </c>
      <c r="K104" s="24" t="e">
        <f t="shared" si="35"/>
        <v>#VALUE!</v>
      </c>
      <c r="L104" s="24" t="e">
        <f t="shared" si="36"/>
        <v>#VALUE!</v>
      </c>
      <c r="M104" s="24" t="e">
        <f t="shared" si="37"/>
        <v>#VALUE!</v>
      </c>
      <c r="O104" s="34" t="e">
        <f t="shared" si="31"/>
        <v>#VALUE!</v>
      </c>
      <c r="P104" s="2" t="e">
        <f t="shared" si="32"/>
        <v>#VALUE!</v>
      </c>
      <c r="Q104" s="2" t="e">
        <f t="shared" si="38"/>
        <v>#VALUE!</v>
      </c>
      <c r="R104" s="2" t="e">
        <f t="shared" si="39"/>
        <v>#VALUE!</v>
      </c>
      <c r="S104" s="2" t="str">
        <f t="shared" si="40"/>
        <v>N</v>
      </c>
      <c r="T104" s="2" t="b">
        <f t="shared" si="46"/>
        <v>0</v>
      </c>
      <c r="U104" s="2" t="b">
        <f t="shared" si="41"/>
        <v>0</v>
      </c>
      <c r="V104" s="2" t="b">
        <f t="shared" si="47"/>
        <v>0</v>
      </c>
      <c r="W104" s="2">
        <v>13</v>
      </c>
      <c r="X104" s="2">
        <v>45</v>
      </c>
    </row>
    <row r="105" spans="1:24" x14ac:dyDescent="0.25">
      <c r="A105" s="34">
        <v>44414</v>
      </c>
      <c r="B105" s="4"/>
      <c r="C105" s="5" t="str">
        <f t="shared" si="44"/>
        <v/>
      </c>
      <c r="D105" s="4" t="str">
        <f t="shared" si="33"/>
        <v/>
      </c>
      <c r="E105" s="4">
        <f t="shared" si="42"/>
        <v>80</v>
      </c>
      <c r="F105" s="34" t="e">
        <f t="shared" si="43"/>
        <v>#VALUE!</v>
      </c>
      <c r="G105" s="4" t="str">
        <f t="shared" si="30"/>
        <v/>
      </c>
      <c r="H105" s="5" t="str">
        <f t="shared" si="45"/>
        <v/>
      </c>
      <c r="I105" s="4"/>
      <c r="J105" s="2" t="str">
        <f t="shared" si="34"/>
        <v/>
      </c>
      <c r="K105" s="24" t="e">
        <f t="shared" si="35"/>
        <v>#VALUE!</v>
      </c>
      <c r="L105" s="24" t="e">
        <f t="shared" si="36"/>
        <v>#VALUE!</v>
      </c>
      <c r="M105" s="24" t="e">
        <f t="shared" si="37"/>
        <v>#VALUE!</v>
      </c>
      <c r="O105" s="34" t="e">
        <f t="shared" si="31"/>
        <v>#VALUE!</v>
      </c>
      <c r="P105" s="2" t="e">
        <f t="shared" si="32"/>
        <v>#VALUE!</v>
      </c>
      <c r="Q105" s="2" t="e">
        <f t="shared" si="38"/>
        <v>#VALUE!</v>
      </c>
      <c r="R105" s="2" t="e">
        <f t="shared" si="39"/>
        <v>#VALUE!</v>
      </c>
      <c r="S105" s="2" t="str">
        <f t="shared" si="40"/>
        <v>N</v>
      </c>
      <c r="T105" s="2" t="b">
        <f t="shared" si="46"/>
        <v>0</v>
      </c>
      <c r="U105" s="2" t="b">
        <f t="shared" si="41"/>
        <v>0</v>
      </c>
      <c r="V105" s="2" t="b">
        <f t="shared" si="47"/>
        <v>0</v>
      </c>
      <c r="W105" s="2">
        <v>14</v>
      </c>
      <c r="X105" s="2">
        <v>60</v>
      </c>
    </row>
    <row r="106" spans="1:24" x14ac:dyDescent="0.25">
      <c r="A106" s="34">
        <v>44421</v>
      </c>
      <c r="B106" s="4"/>
      <c r="C106" s="5" t="str">
        <f t="shared" si="44"/>
        <v/>
      </c>
      <c r="D106" s="4" t="str">
        <f t="shared" si="33"/>
        <v/>
      </c>
      <c r="E106" s="4">
        <f t="shared" si="42"/>
        <v>80</v>
      </c>
      <c r="F106" s="34" t="e">
        <f t="shared" si="43"/>
        <v>#VALUE!</v>
      </c>
      <c r="G106" s="4" t="str">
        <f t="shared" si="30"/>
        <v/>
      </c>
      <c r="H106" s="5" t="str">
        <f t="shared" si="45"/>
        <v/>
      </c>
      <c r="I106" s="4"/>
      <c r="J106" s="2" t="str">
        <f t="shared" si="34"/>
        <v/>
      </c>
      <c r="K106" s="24" t="e">
        <f t="shared" si="35"/>
        <v>#VALUE!</v>
      </c>
      <c r="L106" s="24" t="e">
        <f t="shared" si="36"/>
        <v>#VALUE!</v>
      </c>
      <c r="M106" s="24" t="e">
        <f t="shared" si="37"/>
        <v>#VALUE!</v>
      </c>
      <c r="O106" s="34" t="e">
        <f t="shared" si="31"/>
        <v>#VALUE!</v>
      </c>
      <c r="P106" s="2" t="e">
        <f t="shared" si="32"/>
        <v>#VALUE!</v>
      </c>
      <c r="Q106" s="2" t="e">
        <f t="shared" si="38"/>
        <v>#VALUE!</v>
      </c>
      <c r="R106" s="2" t="e">
        <f t="shared" si="39"/>
        <v>#VALUE!</v>
      </c>
      <c r="S106" s="2" t="str">
        <f t="shared" si="40"/>
        <v>N</v>
      </c>
      <c r="T106" s="2" t="b">
        <f t="shared" si="46"/>
        <v>0</v>
      </c>
      <c r="U106" s="2" t="b">
        <f t="shared" si="41"/>
        <v>0</v>
      </c>
      <c r="V106" s="2" t="b">
        <f t="shared" si="47"/>
        <v>0</v>
      </c>
      <c r="W106" s="2">
        <v>15</v>
      </c>
      <c r="X106" s="2">
        <v>120</v>
      </c>
    </row>
    <row r="107" spans="1:24" x14ac:dyDescent="0.25">
      <c r="A107" s="34">
        <v>44428</v>
      </c>
      <c r="B107" s="4"/>
      <c r="C107" s="5" t="str">
        <f t="shared" si="44"/>
        <v/>
      </c>
      <c r="D107" s="4" t="str">
        <f t="shared" si="33"/>
        <v/>
      </c>
      <c r="E107" s="4">
        <f t="shared" si="42"/>
        <v>80</v>
      </c>
      <c r="F107" s="34" t="e">
        <f t="shared" si="43"/>
        <v>#VALUE!</v>
      </c>
      <c r="G107" s="4" t="str">
        <f t="shared" si="30"/>
        <v/>
      </c>
      <c r="H107" s="5" t="str">
        <f t="shared" si="45"/>
        <v/>
      </c>
      <c r="I107" s="4"/>
      <c r="J107" s="2" t="str">
        <f t="shared" si="34"/>
        <v/>
      </c>
      <c r="K107" s="24" t="e">
        <f t="shared" si="35"/>
        <v>#VALUE!</v>
      </c>
      <c r="L107" s="24" t="e">
        <f t="shared" si="36"/>
        <v>#VALUE!</v>
      </c>
      <c r="M107" s="24" t="e">
        <f t="shared" si="37"/>
        <v>#VALUE!</v>
      </c>
      <c r="O107" s="34" t="e">
        <f t="shared" si="31"/>
        <v>#VALUE!</v>
      </c>
      <c r="P107" s="2" t="e">
        <f t="shared" si="32"/>
        <v>#VALUE!</v>
      </c>
      <c r="Q107" s="2" t="e">
        <f t="shared" si="38"/>
        <v>#VALUE!</v>
      </c>
      <c r="R107" s="2" t="e">
        <f t="shared" si="39"/>
        <v>#VALUE!</v>
      </c>
      <c r="S107" s="2" t="str">
        <f t="shared" si="40"/>
        <v>N</v>
      </c>
      <c r="T107" s="2" t="b">
        <f t="shared" si="46"/>
        <v>0</v>
      </c>
      <c r="U107" s="2" t="b">
        <f t="shared" si="41"/>
        <v>0</v>
      </c>
      <c r="V107" s="2" t="b">
        <f t="shared" si="47"/>
        <v>0</v>
      </c>
    </row>
    <row r="108" spans="1:24" x14ac:dyDescent="0.25">
      <c r="A108" s="34">
        <v>44435</v>
      </c>
      <c r="B108" s="4"/>
      <c r="C108" s="5" t="str">
        <f t="shared" si="44"/>
        <v/>
      </c>
      <c r="D108" s="4" t="str">
        <f t="shared" si="33"/>
        <v/>
      </c>
      <c r="E108" s="4">
        <f t="shared" si="42"/>
        <v>80</v>
      </c>
      <c r="F108" s="34" t="e">
        <f t="shared" si="43"/>
        <v>#VALUE!</v>
      </c>
      <c r="G108" s="4" t="str">
        <f t="shared" si="30"/>
        <v/>
      </c>
      <c r="H108" s="5" t="str">
        <f t="shared" si="45"/>
        <v/>
      </c>
      <c r="I108" s="4"/>
      <c r="J108" s="2" t="str">
        <f t="shared" si="34"/>
        <v/>
      </c>
      <c r="K108" s="24" t="e">
        <f t="shared" si="35"/>
        <v>#VALUE!</v>
      </c>
      <c r="L108" s="24" t="e">
        <f t="shared" si="36"/>
        <v>#VALUE!</v>
      </c>
      <c r="M108" s="24" t="e">
        <f t="shared" si="37"/>
        <v>#VALUE!</v>
      </c>
      <c r="O108" s="34" t="e">
        <f t="shared" si="31"/>
        <v>#VALUE!</v>
      </c>
      <c r="P108" s="2" t="e">
        <f t="shared" si="32"/>
        <v>#VALUE!</v>
      </c>
      <c r="Q108" s="2" t="e">
        <f t="shared" si="38"/>
        <v>#VALUE!</v>
      </c>
      <c r="R108" s="2" t="e">
        <f t="shared" si="39"/>
        <v>#VALUE!</v>
      </c>
      <c r="S108" s="2" t="str">
        <f t="shared" si="40"/>
        <v>N</v>
      </c>
      <c r="T108" s="2" t="b">
        <f t="shared" si="46"/>
        <v>0</v>
      </c>
      <c r="U108" s="2" t="b">
        <f t="shared" si="41"/>
        <v>0</v>
      </c>
      <c r="V108" s="2" t="b">
        <f t="shared" si="47"/>
        <v>0</v>
      </c>
    </row>
    <row r="109" spans="1:24" x14ac:dyDescent="0.25">
      <c r="A109" s="34">
        <v>44442</v>
      </c>
      <c r="B109" s="4"/>
      <c r="C109" s="5" t="str">
        <f t="shared" si="44"/>
        <v/>
      </c>
      <c r="D109" s="4" t="str">
        <f t="shared" si="33"/>
        <v/>
      </c>
      <c r="E109" s="4">
        <f t="shared" si="42"/>
        <v>80</v>
      </c>
      <c r="F109" s="34" t="e">
        <f t="shared" si="43"/>
        <v>#VALUE!</v>
      </c>
      <c r="G109" s="4" t="str">
        <f t="shared" si="30"/>
        <v/>
      </c>
      <c r="H109" s="5" t="str">
        <f t="shared" si="45"/>
        <v/>
      </c>
      <c r="I109" s="4"/>
      <c r="J109" s="2" t="str">
        <f t="shared" si="34"/>
        <v/>
      </c>
      <c r="K109" s="24" t="e">
        <f t="shared" si="35"/>
        <v>#VALUE!</v>
      </c>
      <c r="L109" s="24" t="e">
        <f t="shared" si="36"/>
        <v>#VALUE!</v>
      </c>
      <c r="M109" s="24" t="e">
        <f t="shared" si="37"/>
        <v>#VALUE!</v>
      </c>
      <c r="O109" s="34" t="e">
        <f t="shared" si="31"/>
        <v>#VALUE!</v>
      </c>
      <c r="P109" s="2" t="e">
        <f t="shared" si="32"/>
        <v>#VALUE!</v>
      </c>
      <c r="Q109" s="2" t="e">
        <f t="shared" si="38"/>
        <v>#VALUE!</v>
      </c>
      <c r="R109" s="2" t="e">
        <f t="shared" si="39"/>
        <v>#VALUE!</v>
      </c>
      <c r="S109" s="2" t="str">
        <f t="shared" si="40"/>
        <v>N</v>
      </c>
      <c r="T109" s="2" t="b">
        <f t="shared" si="46"/>
        <v>0</v>
      </c>
      <c r="U109" s="2" t="b">
        <f t="shared" si="41"/>
        <v>0</v>
      </c>
      <c r="V109" s="2" t="b">
        <f t="shared" si="47"/>
        <v>0</v>
      </c>
    </row>
    <row r="110" spans="1:24" x14ac:dyDescent="0.25">
      <c r="A110" s="34">
        <v>44449</v>
      </c>
      <c r="B110" s="4"/>
      <c r="C110" s="5" t="str">
        <f t="shared" si="44"/>
        <v/>
      </c>
      <c r="D110" s="4" t="str">
        <f t="shared" si="33"/>
        <v/>
      </c>
      <c r="E110" s="4">
        <f t="shared" si="42"/>
        <v>80</v>
      </c>
      <c r="F110" s="34" t="e">
        <f t="shared" si="43"/>
        <v>#VALUE!</v>
      </c>
      <c r="G110" s="4" t="str">
        <f t="shared" si="30"/>
        <v/>
      </c>
      <c r="H110" s="5" t="str">
        <f t="shared" si="45"/>
        <v/>
      </c>
      <c r="I110" s="4"/>
      <c r="J110" s="2" t="str">
        <f t="shared" si="34"/>
        <v/>
      </c>
      <c r="K110" s="24" t="e">
        <f t="shared" si="35"/>
        <v>#VALUE!</v>
      </c>
      <c r="L110" s="24" t="e">
        <f t="shared" si="36"/>
        <v>#VALUE!</v>
      </c>
      <c r="M110" s="24" t="e">
        <f t="shared" si="37"/>
        <v>#VALUE!</v>
      </c>
      <c r="O110" s="34" t="e">
        <f t="shared" si="31"/>
        <v>#VALUE!</v>
      </c>
      <c r="P110" s="2" t="e">
        <f t="shared" si="32"/>
        <v>#VALUE!</v>
      </c>
      <c r="Q110" s="2" t="e">
        <f t="shared" si="38"/>
        <v>#VALUE!</v>
      </c>
      <c r="R110" s="2" t="e">
        <f t="shared" si="39"/>
        <v>#VALUE!</v>
      </c>
      <c r="S110" s="2" t="str">
        <f t="shared" si="40"/>
        <v>N</v>
      </c>
      <c r="T110" s="2" t="b">
        <f t="shared" si="46"/>
        <v>0</v>
      </c>
      <c r="U110" s="2" t="b">
        <f t="shared" si="41"/>
        <v>0</v>
      </c>
      <c r="V110" s="2" t="b">
        <f t="shared" si="47"/>
        <v>0</v>
      </c>
    </row>
    <row r="111" spans="1:24" x14ac:dyDescent="0.25">
      <c r="A111" s="34">
        <v>44456</v>
      </c>
      <c r="B111" s="4"/>
      <c r="C111" s="5" t="str">
        <f t="shared" si="44"/>
        <v/>
      </c>
      <c r="D111" s="4" t="str">
        <f t="shared" si="33"/>
        <v/>
      </c>
      <c r="E111" s="4">
        <f t="shared" si="42"/>
        <v>80</v>
      </c>
      <c r="F111" s="34" t="e">
        <f t="shared" si="43"/>
        <v>#VALUE!</v>
      </c>
      <c r="G111" s="4" t="str">
        <f t="shared" si="30"/>
        <v/>
      </c>
      <c r="H111" s="5" t="str">
        <f t="shared" si="45"/>
        <v/>
      </c>
      <c r="I111" s="4"/>
      <c r="J111" s="2" t="str">
        <f t="shared" si="34"/>
        <v/>
      </c>
      <c r="K111" s="24" t="e">
        <f t="shared" si="35"/>
        <v>#VALUE!</v>
      </c>
      <c r="L111" s="24" t="e">
        <f t="shared" si="36"/>
        <v>#VALUE!</v>
      </c>
      <c r="M111" s="24" t="e">
        <f t="shared" si="37"/>
        <v>#VALUE!</v>
      </c>
      <c r="O111" s="34" t="e">
        <f t="shared" si="31"/>
        <v>#VALUE!</v>
      </c>
      <c r="P111" s="2" t="e">
        <f t="shared" si="32"/>
        <v>#VALUE!</v>
      </c>
      <c r="Q111" s="2" t="e">
        <f t="shared" si="38"/>
        <v>#VALUE!</v>
      </c>
      <c r="R111" s="2" t="e">
        <f t="shared" si="39"/>
        <v>#VALUE!</v>
      </c>
      <c r="S111" s="2" t="str">
        <f t="shared" si="40"/>
        <v>N</v>
      </c>
      <c r="T111" s="2" t="b">
        <f t="shared" si="46"/>
        <v>0</v>
      </c>
      <c r="U111" s="2" t="b">
        <f t="shared" si="41"/>
        <v>0</v>
      </c>
      <c r="V111" s="2" t="b">
        <f t="shared" si="47"/>
        <v>0</v>
      </c>
    </row>
    <row r="112" spans="1:24" x14ac:dyDescent="0.25">
      <c r="A112" s="34">
        <v>44463</v>
      </c>
      <c r="B112" s="4"/>
      <c r="C112" s="5" t="str">
        <f t="shared" si="44"/>
        <v/>
      </c>
      <c r="D112" s="4" t="str">
        <f t="shared" si="33"/>
        <v/>
      </c>
      <c r="E112" s="4">
        <f t="shared" si="42"/>
        <v>80</v>
      </c>
      <c r="F112" s="34" t="e">
        <f t="shared" si="43"/>
        <v>#VALUE!</v>
      </c>
      <c r="G112" s="4" t="str">
        <f t="shared" si="30"/>
        <v/>
      </c>
      <c r="H112" s="5" t="str">
        <f t="shared" si="45"/>
        <v/>
      </c>
      <c r="I112" s="4"/>
      <c r="J112" s="2" t="str">
        <f t="shared" si="34"/>
        <v/>
      </c>
      <c r="K112" s="24" t="e">
        <f t="shared" si="35"/>
        <v>#VALUE!</v>
      </c>
      <c r="L112" s="24" t="e">
        <f t="shared" si="36"/>
        <v>#VALUE!</v>
      </c>
      <c r="M112" s="24" t="e">
        <f t="shared" si="37"/>
        <v>#VALUE!</v>
      </c>
      <c r="O112" s="34" t="e">
        <f t="shared" si="31"/>
        <v>#VALUE!</v>
      </c>
      <c r="P112" s="2" t="e">
        <f t="shared" si="32"/>
        <v>#VALUE!</v>
      </c>
      <c r="Q112" s="2" t="e">
        <f t="shared" si="38"/>
        <v>#VALUE!</v>
      </c>
      <c r="R112" s="2" t="e">
        <f t="shared" si="39"/>
        <v>#VALUE!</v>
      </c>
      <c r="S112" s="2" t="str">
        <f t="shared" si="40"/>
        <v>N</v>
      </c>
      <c r="T112" s="2" t="b">
        <f t="shared" si="46"/>
        <v>0</v>
      </c>
      <c r="U112" s="2" t="b">
        <f t="shared" si="41"/>
        <v>0</v>
      </c>
      <c r="V112" s="2" t="b">
        <f t="shared" si="47"/>
        <v>0</v>
      </c>
    </row>
    <row r="113" spans="1:24" x14ac:dyDescent="0.25">
      <c r="A113" s="34">
        <v>44470</v>
      </c>
      <c r="B113" s="4"/>
      <c r="C113" s="5" t="str">
        <f t="shared" si="44"/>
        <v/>
      </c>
      <c r="D113" s="4" t="str">
        <f t="shared" si="33"/>
        <v/>
      </c>
      <c r="E113" s="4">
        <f t="shared" si="42"/>
        <v>80</v>
      </c>
      <c r="F113" s="34" t="e">
        <f t="shared" si="43"/>
        <v>#VALUE!</v>
      </c>
      <c r="G113" s="4" t="str">
        <f t="shared" si="30"/>
        <v/>
      </c>
      <c r="H113" s="5" t="str">
        <f t="shared" si="45"/>
        <v/>
      </c>
      <c r="I113" s="4"/>
      <c r="J113" s="2" t="str">
        <f t="shared" si="34"/>
        <v/>
      </c>
      <c r="K113" s="24" t="e">
        <f t="shared" si="35"/>
        <v>#VALUE!</v>
      </c>
      <c r="L113" s="24" t="e">
        <f t="shared" si="36"/>
        <v>#VALUE!</v>
      </c>
      <c r="M113" s="24" t="e">
        <f t="shared" si="37"/>
        <v>#VALUE!</v>
      </c>
      <c r="O113" s="34" t="e">
        <f t="shared" si="31"/>
        <v>#VALUE!</v>
      </c>
      <c r="P113" s="2" t="e">
        <f t="shared" si="32"/>
        <v>#VALUE!</v>
      </c>
      <c r="Q113" s="2" t="e">
        <f t="shared" si="38"/>
        <v>#VALUE!</v>
      </c>
      <c r="R113" s="2" t="e">
        <f t="shared" si="39"/>
        <v>#VALUE!</v>
      </c>
      <c r="S113" s="2" t="str">
        <f t="shared" si="40"/>
        <v>N</v>
      </c>
      <c r="T113" s="2" t="b">
        <f t="shared" si="46"/>
        <v>0</v>
      </c>
      <c r="U113" s="2" t="b">
        <f t="shared" si="41"/>
        <v>0</v>
      </c>
      <c r="V113" s="2" t="b">
        <f t="shared" si="47"/>
        <v>0</v>
      </c>
    </row>
    <row r="114" spans="1:24" ht="14.5" x14ac:dyDescent="0.35">
      <c r="A114" s="33">
        <v>43714</v>
      </c>
      <c r="B114" s="4">
        <v>0</v>
      </c>
      <c r="C114" s="5"/>
      <c r="D114" s="4" t="str">
        <f>IF(I114="","",B114+$B$2)</f>
        <v/>
      </c>
      <c r="E114" s="4">
        <f>IF(I114&lt;&gt;"",IF(D115="",D114+C111,""),B111+$C$2)</f>
        <v>0</v>
      </c>
      <c r="F114" s="34"/>
      <c r="G114" s="4" t="str">
        <f t="shared" si="30"/>
        <v/>
      </c>
      <c r="H114" s="5"/>
      <c r="I114" s="4"/>
      <c r="J114" s="2" t="str">
        <f>(IF(I114="","",I114))</f>
        <v/>
      </c>
      <c r="K114" s="24" t="e">
        <f t="shared" si="35"/>
        <v>#VALUE!</v>
      </c>
      <c r="L114" s="24" t="e">
        <f t="shared" si="36"/>
        <v>#VALUE!</v>
      </c>
      <c r="M114" s="24" t="e">
        <f t="shared" si="37"/>
        <v>#VALUE!</v>
      </c>
      <c r="O114" s="34" t="e">
        <f t="shared" si="31"/>
        <v>#VALUE!</v>
      </c>
      <c r="P114" s="2" t="e">
        <f t="shared" si="32"/>
        <v>#VALUE!</v>
      </c>
      <c r="Q114" s="2" t="e">
        <f>IF(K114&gt;E114,"Y","N")</f>
        <v>#VALUE!</v>
      </c>
      <c r="R114" s="2" t="e">
        <f>IF(M114&gt;E114,"Y","N")</f>
        <v>#VALUE!</v>
      </c>
      <c r="S114" s="2" t="str">
        <f>IF(AND(ISBLANK(I115),NOT(ISBLANK(I114))),"Y","N")</f>
        <v>N</v>
      </c>
      <c r="T114" s="2" t="b">
        <f t="shared" si="46"/>
        <v>0</v>
      </c>
      <c r="U114" s="2" t="b">
        <f>ISTEXT(O114)</f>
        <v>0</v>
      </c>
      <c r="V114" s="2" t="b">
        <f t="shared" si="47"/>
        <v>0</v>
      </c>
    </row>
    <row r="115" spans="1:24" x14ac:dyDescent="0.25">
      <c r="A115" s="34">
        <v>43721</v>
      </c>
      <c r="B115" s="4"/>
      <c r="C115" s="5"/>
      <c r="D115" s="4" t="str">
        <f>IF(I115="","",B115+D114)</f>
        <v/>
      </c>
      <c r="E115" s="4">
        <f>IF(I115&lt;&gt;"",IF(D116="",D115+$C$2,""),E114+$C$2)</f>
        <v>0</v>
      </c>
      <c r="F115" s="34"/>
      <c r="G115" s="4" t="str">
        <f t="shared" si="30"/>
        <v/>
      </c>
      <c r="H115" s="5"/>
      <c r="I115" s="4"/>
      <c r="J115" s="2" t="str">
        <f>(IF(I115="","",I115+J114))</f>
        <v/>
      </c>
      <c r="K115" s="24" t="e">
        <f t="shared" si="35"/>
        <v>#VALUE!</v>
      </c>
      <c r="L115" s="24" t="e">
        <f t="shared" si="36"/>
        <v>#VALUE!</v>
      </c>
      <c r="M115" s="24" t="e">
        <f t="shared" si="37"/>
        <v>#VALUE!</v>
      </c>
      <c r="O115" s="34" t="e">
        <f t="shared" si="31"/>
        <v>#VALUE!</v>
      </c>
      <c r="P115" s="2" t="e">
        <f t="shared" si="32"/>
        <v>#VALUE!</v>
      </c>
      <c r="Q115" s="2" t="e">
        <f>IF(K115&gt;E115,"Y","N")</f>
        <v>#VALUE!</v>
      </c>
      <c r="R115" s="2" t="e">
        <f>IF(M115&gt;E115,"Y","N")</f>
        <v>#VALUE!</v>
      </c>
      <c r="S115" s="2" t="str">
        <f>IF(AND(ISBLANK(I116),NOT(ISBLANK(I115))),"Y","N")</f>
        <v>N</v>
      </c>
      <c r="T115" s="2" t="b">
        <f t="shared" si="46"/>
        <v>0</v>
      </c>
      <c r="U115" s="2" t="b">
        <f>ISTEXT(O115)</f>
        <v>0</v>
      </c>
      <c r="V115" s="2" t="b">
        <f t="shared" si="47"/>
        <v>0</v>
      </c>
      <c r="W115" s="2">
        <v>1</v>
      </c>
      <c r="X115" s="1">
        <f>VLOOKUP(W115,W92:X106,2,FALSE)</f>
        <v>1</v>
      </c>
    </row>
    <row r="116" spans="1:24" x14ac:dyDescent="0.25">
      <c r="J116" s="4"/>
    </row>
    <row r="117" spans="1:24" x14ac:dyDescent="0.25">
      <c r="J117" s="4"/>
    </row>
    <row r="118" spans="1:24" x14ac:dyDescent="0.25">
      <c r="J118" s="4"/>
    </row>
    <row r="119" spans="1:24" x14ac:dyDescent="0.25">
      <c r="J119" s="4"/>
    </row>
    <row r="120" spans="1:24" x14ac:dyDescent="0.25">
      <c r="J120" s="4"/>
    </row>
    <row r="121" spans="1:24" x14ac:dyDescent="0.25">
      <c r="J121" s="4"/>
    </row>
    <row r="122" spans="1:24" x14ac:dyDescent="0.25">
      <c r="J122" s="4"/>
    </row>
    <row r="123" spans="1:24" x14ac:dyDescent="0.25">
      <c r="J123" s="4"/>
    </row>
    <row r="124" spans="1:24" x14ac:dyDescent="0.25">
      <c r="J124" s="4"/>
    </row>
    <row r="125" spans="1:24" x14ac:dyDescent="0.25">
      <c r="J125" s="4"/>
    </row>
    <row r="126" spans="1:24" x14ac:dyDescent="0.25">
      <c r="J126" s="4"/>
    </row>
    <row r="127" spans="1:24" x14ac:dyDescent="0.25">
      <c r="J127" s="4"/>
    </row>
    <row r="128" spans="1:24" x14ac:dyDescent="0.25">
      <c r="J128" s="4"/>
    </row>
    <row r="129" spans="10:10" x14ac:dyDescent="0.25">
      <c r="J129" s="4"/>
    </row>
    <row r="130" spans="10:10" x14ac:dyDescent="0.25">
      <c r="J130" s="4"/>
    </row>
    <row r="131" spans="10:10" x14ac:dyDescent="0.25">
      <c r="J131" s="4"/>
    </row>
    <row r="132" spans="10:10" x14ac:dyDescent="0.25">
      <c r="J132" s="4"/>
    </row>
    <row r="133" spans="10:10" x14ac:dyDescent="0.25">
      <c r="J133" s="4"/>
    </row>
    <row r="134" spans="10:10" x14ac:dyDescent="0.25">
      <c r="J134" s="4"/>
    </row>
    <row r="135" spans="10:10" x14ac:dyDescent="0.25">
      <c r="J135" s="4"/>
    </row>
    <row r="136" spans="10:10" x14ac:dyDescent="0.25">
      <c r="J136" s="4"/>
    </row>
    <row r="137" spans="10:10" x14ac:dyDescent="0.25">
      <c r="J137" s="4"/>
    </row>
    <row r="138" spans="10:10" x14ac:dyDescent="0.25">
      <c r="J138" s="4"/>
    </row>
    <row r="139" spans="10:10" x14ac:dyDescent="0.25">
      <c r="J139" s="4"/>
    </row>
    <row r="140" spans="10:10" x14ac:dyDescent="0.25">
      <c r="J140" s="4"/>
    </row>
    <row r="141" spans="10:10" x14ac:dyDescent="0.25">
      <c r="J141" s="4"/>
    </row>
    <row r="142" spans="10:10" x14ac:dyDescent="0.25">
      <c r="J142" s="4"/>
    </row>
    <row r="143" spans="10:10" x14ac:dyDescent="0.25">
      <c r="J143" s="4"/>
    </row>
    <row r="144" spans="10:10" x14ac:dyDescent="0.25">
      <c r="J144" s="4"/>
    </row>
    <row r="145" spans="10:10" x14ac:dyDescent="0.25">
      <c r="J145" s="4"/>
    </row>
    <row r="146" spans="10:10" x14ac:dyDescent="0.25">
      <c r="J146" s="4"/>
    </row>
    <row r="147" spans="10:10" x14ac:dyDescent="0.25">
      <c r="J147" s="4"/>
    </row>
    <row r="148" spans="10:10" x14ac:dyDescent="0.25">
      <c r="J148" s="4"/>
    </row>
    <row r="149" spans="10:10" x14ac:dyDescent="0.25">
      <c r="J149" s="4"/>
    </row>
    <row r="150" spans="10:10" x14ac:dyDescent="0.25">
      <c r="J150" s="4"/>
    </row>
    <row r="151" spans="10:10" x14ac:dyDescent="0.25">
      <c r="J151" s="4"/>
    </row>
    <row r="152" spans="10:10" x14ac:dyDescent="0.25">
      <c r="J152" s="4"/>
    </row>
    <row r="153" spans="10:10" x14ac:dyDescent="0.25">
      <c r="J153" s="4"/>
    </row>
    <row r="154" spans="10:10" x14ac:dyDescent="0.25">
      <c r="J154" s="4"/>
    </row>
    <row r="155" spans="10:10" x14ac:dyDescent="0.25">
      <c r="J155" s="4"/>
    </row>
    <row r="156" spans="10:10" x14ac:dyDescent="0.25">
      <c r="J156" s="4"/>
    </row>
    <row r="157" spans="10:10" x14ac:dyDescent="0.25">
      <c r="J157" s="4"/>
    </row>
    <row r="158" spans="10:10" x14ac:dyDescent="0.25">
      <c r="J158" s="4"/>
    </row>
    <row r="159" spans="10:10" x14ac:dyDescent="0.25">
      <c r="J159" s="4"/>
    </row>
    <row r="160" spans="10:10" x14ac:dyDescent="0.25">
      <c r="J160" s="4"/>
    </row>
    <row r="161" spans="10:10" x14ac:dyDescent="0.25">
      <c r="J161" s="4"/>
    </row>
    <row r="162" spans="10:10" x14ac:dyDescent="0.25">
      <c r="J162" s="4"/>
    </row>
    <row r="163" spans="10:10" x14ac:dyDescent="0.25">
      <c r="J163" s="4"/>
    </row>
    <row r="164" spans="10:10" x14ac:dyDescent="0.25">
      <c r="J164" s="4"/>
    </row>
    <row r="165" spans="10:10" x14ac:dyDescent="0.25">
      <c r="J165" s="4"/>
    </row>
    <row r="166" spans="10:10" x14ac:dyDescent="0.25">
      <c r="J166" s="4"/>
    </row>
    <row r="167" spans="10:10" x14ac:dyDescent="0.25">
      <c r="J167" s="4"/>
    </row>
    <row r="168" spans="10:10" x14ac:dyDescent="0.25">
      <c r="J168" s="4"/>
    </row>
    <row r="169" spans="10:10" x14ac:dyDescent="0.25">
      <c r="J169" s="4"/>
    </row>
    <row r="170" spans="10:10" x14ac:dyDescent="0.25">
      <c r="J170" s="4"/>
    </row>
    <row r="171" spans="10:10" x14ac:dyDescent="0.25">
      <c r="J171" s="4"/>
    </row>
    <row r="172" spans="10:10" x14ac:dyDescent="0.25">
      <c r="J172" s="4"/>
    </row>
    <row r="173" spans="10:10" x14ac:dyDescent="0.25">
      <c r="J173" s="4"/>
    </row>
    <row r="174" spans="10:10" x14ac:dyDescent="0.25">
      <c r="J174" s="4"/>
    </row>
    <row r="175" spans="10:10" x14ac:dyDescent="0.25">
      <c r="J175" s="4"/>
    </row>
    <row r="176" spans="10:10" x14ac:dyDescent="0.25">
      <c r="J176" s="4"/>
    </row>
    <row r="177" spans="10:10" x14ac:dyDescent="0.25">
      <c r="J177" s="4"/>
    </row>
    <row r="178" spans="10:10" x14ac:dyDescent="0.25">
      <c r="J178" s="4"/>
    </row>
    <row r="179" spans="10:10" x14ac:dyDescent="0.25">
      <c r="J179" s="4"/>
    </row>
    <row r="180" spans="10:10" x14ac:dyDescent="0.25">
      <c r="J180" s="4"/>
    </row>
    <row r="181" spans="10:10" x14ac:dyDescent="0.25">
      <c r="J181" s="4"/>
    </row>
    <row r="182" spans="10:10" x14ac:dyDescent="0.25">
      <c r="J182" s="4"/>
    </row>
    <row r="183" spans="10:10" x14ac:dyDescent="0.25">
      <c r="J183" s="4"/>
    </row>
    <row r="184" spans="10:10" x14ac:dyDescent="0.25">
      <c r="J184" s="4"/>
    </row>
    <row r="185" spans="10:10" x14ac:dyDescent="0.25">
      <c r="J185" s="4"/>
    </row>
    <row r="186" spans="10:10" x14ac:dyDescent="0.25">
      <c r="J186" s="4"/>
    </row>
    <row r="187" spans="10:10" x14ac:dyDescent="0.25">
      <c r="J187" s="4"/>
    </row>
    <row r="188" spans="10:10" x14ac:dyDescent="0.25">
      <c r="J188" s="4"/>
    </row>
    <row r="189" spans="10:10" x14ac:dyDescent="0.25">
      <c r="J189" s="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$Resources:CType_PWS_Document(1)" ma:contentTypeID="0x0101008A98423170284BEEB635F43C3CF4E98B007685021734196346852BCA14A44CCBBE" ma:contentTypeVersion="1" ma:contentTypeDescription="" ma:contentTypeScope="" ma:versionID="835b390c449a11b7bcc4549d216c28d7">
  <xsd:schema xmlns:xsd="http://www.w3.org/2001/XMLSchema" xmlns:p="http://schemas.microsoft.com/office/2006/metadata/properties" xmlns:ns2="09FF7C15-C72B-4FD5-99E9-B2C97BC568FD" targetNamespace="http://schemas.microsoft.com/office/2006/metadata/properties" ma:root="true" ma:fieldsID="4fb90502589bd4f0303a1907c14481e8" ns2:_="">
    <xsd:import namespace="09FF7C15-C72B-4FD5-99E9-B2C97BC568FD"/>
    <xsd:element name="properties">
      <xsd:complexType>
        <xsd:sequence>
          <xsd:element name="documentManagement">
            <xsd:complexType>
              <xsd:all>
                <xsd:element ref="ns2:Owne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09FF7C15-C72B-4FD5-99E9-B2C97BC568FD" elementFormDefault="qualified">
    <xsd:import namespace="http://schemas.microsoft.com/office/2006/documentManagement/types"/>
    <xsd:element name="Owner" ma:index="8" nillable="true" ma:displayName="Owner" ma:list="UserInfo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>
    <Owner xmlns="09FF7C15-C72B-4FD5-99E9-B2C97BC568FD">
      <UserInfo>
        <DisplayName>Sheree' Anderson</DisplayName>
        <AccountId>6479</AccountId>
        <AccountType/>
      </UserInfo>
    </Owner>
  </documentManagement>
</p:properties>
</file>

<file path=customXml/itemProps1.xml><?xml version="1.0" encoding="utf-8"?>
<ds:datastoreItem xmlns:ds="http://schemas.openxmlformats.org/officeDocument/2006/customXml" ds:itemID="{03F53006-40FC-4553-8529-4BF5FA6F00E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3387F6C-0075-472F-A827-799EEC4FDC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9FF7C15-C72B-4FD5-99E9-B2C97BC568F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53F72D74-F272-4D72-8430-D7C0D85DA507}">
  <ds:schemaRefs>
    <ds:schemaRef ds:uri="http://purl.org/dc/terms/"/>
    <ds:schemaRef ds:uri="09FF7C15-C72B-4FD5-99E9-B2C97BC568FD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Stories Done</vt:lpstr>
      <vt:lpstr>Weekly Throughput</vt:lpstr>
      <vt:lpstr>Sheet1</vt:lpstr>
      <vt:lpstr>Chart_Data_Sheet</vt:lpstr>
      <vt:lpstr>GWIPP2_01</vt:lpstr>
      <vt:lpstr>Weekly Throughput (2)</vt:lpstr>
      <vt:lpstr>Publish</vt:lpstr>
      <vt:lpstr>Chart_TP_Data</vt:lpstr>
      <vt:lpstr>'Stories Done'!Print_Area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Mosaic Team Metrics 2014-05-07</dc:title>
  <dc:creator>mam731</dc:creator>
  <cp:keywords>burnup;status;mosaic</cp:keywords>
  <cp:lastModifiedBy>Patrick McDevitt</cp:lastModifiedBy>
  <cp:lastPrinted>2019-09-19T19:51:43Z</cp:lastPrinted>
  <dcterms:created xsi:type="dcterms:W3CDTF">2012-12-11T18:05:32Z</dcterms:created>
  <dcterms:modified xsi:type="dcterms:W3CDTF">2020-02-23T19:54:36Z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0x0101008A98423170284BEEB635F43C3CF4E98B007685021734196346852BCA14A44CCBBE</vt:lpwstr>
  </property>
</Properties>
</file>