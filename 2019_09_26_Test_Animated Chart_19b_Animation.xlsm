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ownloads\"/>
    </mc:Choice>
  </mc:AlternateContent>
  <bookViews>
    <workbookView xWindow="0" yWindow="0" windowWidth="21600" windowHeight="11800" tabRatio="818" firstSheet="1" activeTab="2"/>
  </bookViews>
  <sheets>
    <sheet name="Stories Done" sheetId="16" r:id="rId1"/>
    <sheet name="Weekly Throughput" sheetId="15" r:id="rId2"/>
    <sheet name="Publish" sheetId="21" r:id="rId3"/>
    <sheet name="Chart_Data_Sheet" sheetId="20" r:id="rId4"/>
    <sheet name="GWIPP2_01" sheetId="23" r:id="rId5"/>
    <sheet name="Weekly Throughput (2)" sheetId="24" r:id="rId6"/>
  </sheets>
  <functionGroups builtInGroupCount="18"/>
  <definedNames>
    <definedName name="AverageVelocity" localSheetId="5">'Weekly Throughput (2)'!$G$2</definedName>
    <definedName name="AverageVelocity">'Weekly Throughput'!$G$2</definedName>
    <definedName name="Chart_Accumulated_Scope" localSheetId="5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5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5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5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5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5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Growth" localSheetId="5">'Weekly Throughput (2)'!$C$2</definedName>
    <definedName name="Growth">'Weekly Throughput'!$C$2</definedName>
    <definedName name="Historic_Growth" localSheetId="5">'Weekly Throughput (2)'!$D$2</definedName>
    <definedName name="Historic_Growth">'Weekly Throughput'!$D$2</definedName>
    <definedName name="InitialScope" localSheetId="5">'Weekly Throughput (2)'!$B$2</definedName>
    <definedName name="InitialScope">'Weekly Throughput'!$B$2</definedName>
    <definedName name="myStdDev" localSheetId="5">'Weekly Throughput (2)'!$L$2</definedName>
    <definedName name="myStdDev">'Weekly Throughput'!$L$2</definedName>
    <definedName name="Optimistic" localSheetId="5">OFFSET('Weekly Throughput (2)'!XFA1048572:XFA104,,,)</definedName>
    <definedName name="Optimistic">OFFSET('Weekly Throughput'!XFA1048572:XFA104,,,)</definedName>
    <definedName name="Pessimistic" localSheetId="5">OFFSET('Weekly Throughput (2)'!XEZ1048573:XEZ105,,,,)</definedName>
    <definedName name="Pessimistic">OFFSET('Weekly Throughput'!XEZ1048573:XEZ105,,,,)</definedName>
    <definedName name="_xlnm.Print_Area" localSheetId="0">'Stories Done'!$A$1:$N$21</definedName>
  </definedNames>
  <calcPr calcId="171027"/>
</workbook>
</file>

<file path=xl/calcChain.xml><?xml version="1.0" encoding="utf-8"?>
<calcChain xmlns="http://schemas.openxmlformats.org/spreadsheetml/2006/main">
  <c r="D114" i="24" l="1"/>
  <c r="D115" i="24"/>
  <c r="J114" i="24"/>
  <c r="J115" i="24"/>
  <c r="S115" i="15"/>
  <c r="J115" i="15"/>
  <c r="G115" i="15"/>
  <c r="D115" i="15"/>
  <c r="S114" i="15"/>
  <c r="J114" i="15"/>
  <c r="G114" i="15"/>
  <c r="D114" i="15"/>
  <c r="S113" i="15"/>
  <c r="J113" i="15"/>
  <c r="H113" i="15"/>
  <c r="G113" i="15"/>
  <c r="D113" i="15"/>
  <c r="C113" i="15"/>
  <c r="S112" i="15"/>
  <c r="J112" i="15"/>
  <c r="H112" i="15"/>
  <c r="G112" i="15"/>
  <c r="D112" i="15"/>
  <c r="C112" i="15"/>
  <c r="S111" i="15"/>
  <c r="J111" i="15"/>
  <c r="H111" i="15"/>
  <c r="G111" i="15"/>
  <c r="D111" i="15"/>
  <c r="C111" i="15"/>
  <c r="S110" i="15"/>
  <c r="J110" i="15"/>
  <c r="H110" i="15"/>
  <c r="G110" i="15"/>
  <c r="D110" i="15"/>
  <c r="C110" i="15"/>
  <c r="S109" i="15"/>
  <c r="J109" i="15"/>
  <c r="H109" i="15"/>
  <c r="G109" i="15"/>
  <c r="D109" i="15"/>
  <c r="C109" i="15"/>
  <c r="S108" i="15"/>
  <c r="J108" i="15"/>
  <c r="H108" i="15"/>
  <c r="G108" i="15"/>
  <c r="D108" i="15"/>
  <c r="C108" i="15"/>
  <c r="S107" i="15"/>
  <c r="J107" i="15"/>
  <c r="H107" i="15"/>
  <c r="G107" i="15"/>
  <c r="D107" i="15"/>
  <c r="C107" i="15"/>
  <c r="S106" i="15"/>
  <c r="J106" i="15"/>
  <c r="H106" i="15"/>
  <c r="G106" i="15"/>
  <c r="D106" i="15"/>
  <c r="C106" i="15"/>
  <c r="S105" i="15"/>
  <c r="J105" i="15"/>
  <c r="H105" i="15"/>
  <c r="G105" i="15"/>
  <c r="D105" i="15"/>
  <c r="C105" i="15"/>
  <c r="S104" i="15"/>
  <c r="J104" i="15"/>
  <c r="H104" i="15"/>
  <c r="G104" i="15"/>
  <c r="D104" i="15"/>
  <c r="C104" i="15"/>
  <c r="S103" i="15"/>
  <c r="J103" i="15"/>
  <c r="H103" i="15"/>
  <c r="G103" i="15"/>
  <c r="D103" i="15"/>
  <c r="C103" i="15"/>
  <c r="S102" i="15"/>
  <c r="J102" i="15"/>
  <c r="H102" i="15"/>
  <c r="G102" i="15"/>
  <c r="D102" i="15"/>
  <c r="C102" i="15"/>
  <c r="S101" i="15"/>
  <c r="J101" i="15"/>
  <c r="H101" i="15"/>
  <c r="G101" i="15"/>
  <c r="D101" i="15"/>
  <c r="C101" i="15"/>
  <c r="S100" i="15"/>
  <c r="J100" i="15"/>
  <c r="H100" i="15"/>
  <c r="G100" i="15"/>
  <c r="D100" i="15"/>
  <c r="C100" i="15"/>
  <c r="S99" i="15"/>
  <c r="J99" i="15"/>
  <c r="H99" i="15"/>
  <c r="G99" i="15"/>
  <c r="D99" i="15"/>
  <c r="C99" i="15"/>
  <c r="S98" i="15"/>
  <c r="J98" i="15"/>
  <c r="H98" i="15"/>
  <c r="G98" i="15"/>
  <c r="D98" i="15"/>
  <c r="C98" i="15"/>
  <c r="S97" i="15"/>
  <c r="J97" i="15"/>
  <c r="H97" i="15"/>
  <c r="G97" i="15"/>
  <c r="D97" i="15"/>
  <c r="C97" i="15"/>
  <c r="S96" i="15"/>
  <c r="J96" i="15"/>
  <c r="H96" i="15"/>
  <c r="G96" i="15"/>
  <c r="D96" i="15"/>
  <c r="C96" i="15"/>
  <c r="S95" i="15"/>
  <c r="J95" i="15"/>
  <c r="H95" i="15"/>
  <c r="G95" i="15"/>
  <c r="D95" i="15"/>
  <c r="C95" i="15"/>
  <c r="S94" i="15"/>
  <c r="J94" i="15"/>
  <c r="H94" i="15"/>
  <c r="G94" i="15"/>
  <c r="D94" i="15"/>
  <c r="C94" i="15"/>
  <c r="S93" i="15"/>
  <c r="J93" i="15"/>
  <c r="H93" i="15"/>
  <c r="G93" i="15"/>
  <c r="D93" i="15"/>
  <c r="C93" i="15"/>
  <c r="S92" i="15"/>
  <c r="J92" i="15"/>
  <c r="H92" i="15"/>
  <c r="G92" i="15"/>
  <c r="D92" i="15"/>
  <c r="C92" i="15"/>
  <c r="S91" i="15"/>
  <c r="J91" i="15"/>
  <c r="H91" i="15"/>
  <c r="G91" i="15"/>
  <c r="D91" i="15"/>
  <c r="C91" i="15"/>
  <c r="S90" i="15"/>
  <c r="J90" i="15"/>
  <c r="H90" i="15"/>
  <c r="G90" i="15"/>
  <c r="D90" i="15"/>
  <c r="C90" i="15"/>
  <c r="S89" i="15"/>
  <c r="J89" i="15"/>
  <c r="H89" i="15"/>
  <c r="G89" i="15"/>
  <c r="D89" i="15"/>
  <c r="C89" i="15"/>
  <c r="S88" i="15"/>
  <c r="J88" i="15"/>
  <c r="H88" i="15"/>
  <c r="G88" i="15"/>
  <c r="D88" i="15"/>
  <c r="C88" i="15"/>
  <c r="S87" i="15"/>
  <c r="J87" i="15"/>
  <c r="H87" i="15"/>
  <c r="G87" i="15"/>
  <c r="D87" i="15"/>
  <c r="C87" i="15"/>
  <c r="S86" i="15"/>
  <c r="J86" i="15"/>
  <c r="H86" i="15"/>
  <c r="G86" i="15"/>
  <c r="D86" i="15"/>
  <c r="C86" i="15"/>
  <c r="S85" i="15"/>
  <c r="J85" i="15"/>
  <c r="H85" i="15"/>
  <c r="G85" i="15"/>
  <c r="D85" i="15"/>
  <c r="C85" i="15"/>
  <c r="S84" i="15"/>
  <c r="J84" i="15"/>
  <c r="H84" i="15"/>
  <c r="G84" i="15"/>
  <c r="D84" i="15"/>
  <c r="C84" i="15"/>
  <c r="S83" i="15"/>
  <c r="J83" i="15"/>
  <c r="H83" i="15"/>
  <c r="G83" i="15"/>
  <c r="D83" i="15"/>
  <c r="C83" i="15"/>
  <c r="S82" i="15"/>
  <c r="J82" i="15"/>
  <c r="H82" i="15"/>
  <c r="G82" i="15"/>
  <c r="D82" i="15"/>
  <c r="C82" i="15"/>
  <c r="S81" i="15"/>
  <c r="J81" i="15"/>
  <c r="H81" i="15"/>
  <c r="G81" i="15"/>
  <c r="D81" i="15"/>
  <c r="C81" i="15"/>
  <c r="S80" i="15"/>
  <c r="J80" i="15"/>
  <c r="H80" i="15"/>
  <c r="G80" i="15"/>
  <c r="D80" i="15"/>
  <c r="C80" i="15"/>
  <c r="S79" i="15"/>
  <c r="J79" i="15"/>
  <c r="H79" i="15"/>
  <c r="G79" i="15"/>
  <c r="D79" i="15"/>
  <c r="C79" i="15"/>
  <c r="S78" i="15"/>
  <c r="J78" i="15"/>
  <c r="H78" i="15"/>
  <c r="G78" i="15"/>
  <c r="D78" i="15"/>
  <c r="C78" i="15"/>
  <c r="S77" i="15"/>
  <c r="J77" i="15"/>
  <c r="H77" i="15"/>
  <c r="G77" i="15"/>
  <c r="D77" i="15"/>
  <c r="C77" i="15"/>
  <c r="S76" i="15"/>
  <c r="J76" i="15"/>
  <c r="H76" i="15"/>
  <c r="G76" i="15"/>
  <c r="D76" i="15"/>
  <c r="C76" i="15"/>
  <c r="S75" i="15"/>
  <c r="J75" i="15"/>
  <c r="H75" i="15"/>
  <c r="G75" i="15"/>
  <c r="D75" i="15"/>
  <c r="C75" i="15"/>
  <c r="S74" i="15"/>
  <c r="J74" i="15"/>
  <c r="H74" i="15"/>
  <c r="G74" i="15"/>
  <c r="D74" i="15"/>
  <c r="C74" i="15"/>
  <c r="S73" i="15"/>
  <c r="J73" i="15"/>
  <c r="H73" i="15"/>
  <c r="G73" i="15"/>
  <c r="D73" i="15"/>
  <c r="C73" i="15"/>
  <c r="S72" i="15"/>
  <c r="J72" i="15"/>
  <c r="H72" i="15"/>
  <c r="G72" i="15"/>
  <c r="D72" i="15"/>
  <c r="C72" i="15"/>
  <c r="S71" i="15"/>
  <c r="J71" i="15"/>
  <c r="H71" i="15"/>
  <c r="G71" i="15"/>
  <c r="D71" i="15"/>
  <c r="C71" i="15"/>
  <c r="S70" i="15"/>
  <c r="J70" i="15"/>
  <c r="H70" i="15"/>
  <c r="G70" i="15"/>
  <c r="D70" i="15"/>
  <c r="C70" i="15"/>
  <c r="S69" i="15"/>
  <c r="J69" i="15"/>
  <c r="H69" i="15"/>
  <c r="G69" i="15"/>
  <c r="D69" i="15"/>
  <c r="C69" i="15"/>
  <c r="S68" i="15"/>
  <c r="J68" i="15"/>
  <c r="H68" i="15"/>
  <c r="G68" i="15"/>
  <c r="D68" i="15"/>
  <c r="C68" i="15"/>
  <c r="S67" i="15"/>
  <c r="J67" i="15"/>
  <c r="H67" i="15"/>
  <c r="G67" i="15"/>
  <c r="D67" i="15"/>
  <c r="C67" i="15"/>
  <c r="S66" i="15"/>
  <c r="J66" i="15"/>
  <c r="H66" i="15"/>
  <c r="G66" i="15"/>
  <c r="D66" i="15"/>
  <c r="C66" i="15"/>
  <c r="S65" i="15"/>
  <c r="J65" i="15"/>
  <c r="H65" i="15"/>
  <c r="G65" i="15"/>
  <c r="D65" i="15"/>
  <c r="C65" i="15"/>
  <c r="S64" i="15"/>
  <c r="J64" i="15"/>
  <c r="H64" i="15"/>
  <c r="G64" i="15"/>
  <c r="D64" i="15"/>
  <c r="C64" i="15"/>
  <c r="S63" i="15"/>
  <c r="J63" i="15"/>
  <c r="H63" i="15"/>
  <c r="G63" i="15"/>
  <c r="D63" i="15"/>
  <c r="C63" i="15"/>
  <c r="S62" i="15"/>
  <c r="J62" i="15"/>
  <c r="H62" i="15"/>
  <c r="G62" i="15"/>
  <c r="D62" i="15"/>
  <c r="C62" i="15"/>
  <c r="S61" i="15"/>
  <c r="J61" i="15"/>
  <c r="H61" i="15"/>
  <c r="G61" i="15"/>
  <c r="D61" i="15"/>
  <c r="C61" i="15"/>
  <c r="S60" i="15"/>
  <c r="J60" i="15"/>
  <c r="H60" i="15"/>
  <c r="G60" i="15"/>
  <c r="D60" i="15"/>
  <c r="C60" i="15"/>
  <c r="S59" i="15"/>
  <c r="J59" i="15"/>
  <c r="H59" i="15"/>
  <c r="G59" i="15"/>
  <c r="D59" i="15"/>
  <c r="C59" i="15"/>
  <c r="S58" i="15"/>
  <c r="J58" i="15"/>
  <c r="H58" i="15"/>
  <c r="G58" i="15"/>
  <c r="D58" i="15"/>
  <c r="C58" i="15"/>
  <c r="S57" i="15"/>
  <c r="J57" i="15"/>
  <c r="H57" i="15"/>
  <c r="G57" i="15"/>
  <c r="D57" i="15"/>
  <c r="C57" i="15"/>
  <c r="S56" i="15"/>
  <c r="J56" i="15"/>
  <c r="H56" i="15"/>
  <c r="G56" i="15"/>
  <c r="D56" i="15"/>
  <c r="C56" i="15"/>
  <c r="S55" i="15"/>
  <c r="J55" i="15"/>
  <c r="H55" i="15"/>
  <c r="G55" i="15"/>
  <c r="D55" i="15"/>
  <c r="C55" i="15"/>
  <c r="S54" i="15"/>
  <c r="J54" i="15"/>
  <c r="H54" i="15"/>
  <c r="G54" i="15"/>
  <c r="D54" i="15"/>
  <c r="C54" i="15"/>
  <c r="S53" i="15"/>
  <c r="J53" i="15"/>
  <c r="H53" i="15"/>
  <c r="G53" i="15"/>
  <c r="D53" i="15"/>
  <c r="C53" i="15"/>
  <c r="S52" i="15"/>
  <c r="J52" i="15"/>
  <c r="H52" i="15"/>
  <c r="G52" i="15"/>
  <c r="D52" i="15"/>
  <c r="C52" i="15"/>
  <c r="S51" i="15"/>
  <c r="J51" i="15"/>
  <c r="H51" i="15"/>
  <c r="G51" i="15"/>
  <c r="D51" i="15"/>
  <c r="C51" i="15"/>
  <c r="S50" i="15"/>
  <c r="J50" i="15"/>
  <c r="H50" i="15"/>
  <c r="G50" i="15"/>
  <c r="D50" i="15"/>
  <c r="C50" i="15"/>
  <c r="S49" i="15"/>
  <c r="J49" i="15"/>
  <c r="H49" i="15"/>
  <c r="G49" i="15"/>
  <c r="D49" i="15"/>
  <c r="C49" i="15"/>
  <c r="S48" i="15"/>
  <c r="J48" i="15"/>
  <c r="H48" i="15"/>
  <c r="G48" i="15"/>
  <c r="D48" i="15"/>
  <c r="C48" i="15"/>
  <c r="S47" i="15"/>
  <c r="J47" i="15"/>
  <c r="H47" i="15"/>
  <c r="G47" i="15"/>
  <c r="D47" i="15"/>
  <c r="C47" i="15"/>
  <c r="S46" i="15"/>
  <c r="J46" i="15"/>
  <c r="H46" i="15"/>
  <c r="G46" i="15"/>
  <c r="D46" i="15"/>
  <c r="C46" i="15"/>
  <c r="S45" i="15"/>
  <c r="J45" i="15"/>
  <c r="H45" i="15"/>
  <c r="G45" i="15"/>
  <c r="D45" i="15"/>
  <c r="C45" i="15"/>
  <c r="S44" i="15"/>
  <c r="J44" i="15"/>
  <c r="H44" i="15"/>
  <c r="G44" i="15"/>
  <c r="D44" i="15"/>
  <c r="C44" i="15"/>
  <c r="S43" i="15"/>
  <c r="J43" i="15"/>
  <c r="H43" i="15"/>
  <c r="G43" i="15"/>
  <c r="D43" i="15"/>
  <c r="C43" i="15"/>
  <c r="S42" i="15"/>
  <c r="J42" i="15"/>
  <c r="H42" i="15"/>
  <c r="G42" i="15"/>
  <c r="D42" i="15"/>
  <c r="C42" i="15"/>
  <c r="S41" i="15"/>
  <c r="J41" i="15"/>
  <c r="H41" i="15"/>
  <c r="G41" i="15"/>
  <c r="D41" i="15"/>
  <c r="C41" i="15"/>
  <c r="S40" i="15"/>
  <c r="J40" i="15"/>
  <c r="H40" i="15"/>
  <c r="G40" i="15"/>
  <c r="D40" i="15"/>
  <c r="C40" i="15"/>
  <c r="S39" i="15"/>
  <c r="J39" i="15"/>
  <c r="H39" i="15"/>
  <c r="G39" i="15"/>
  <c r="D39" i="15"/>
  <c r="C39" i="15"/>
  <c r="S38" i="15"/>
  <c r="J38" i="15"/>
  <c r="H38" i="15"/>
  <c r="G38" i="15"/>
  <c r="D38" i="15"/>
  <c r="C38" i="15"/>
  <c r="S37" i="15"/>
  <c r="J37" i="15"/>
  <c r="H37" i="15"/>
  <c r="G37" i="15"/>
  <c r="D37" i="15"/>
  <c r="C37" i="15"/>
  <c r="S36" i="15"/>
  <c r="J36" i="15"/>
  <c r="H36" i="15"/>
  <c r="G36" i="15"/>
  <c r="D36" i="15"/>
  <c r="C36" i="15"/>
  <c r="S35" i="15"/>
  <c r="J35" i="15"/>
  <c r="H35" i="15"/>
  <c r="G35" i="15"/>
  <c r="D35" i="15"/>
  <c r="C35" i="15"/>
  <c r="S34" i="15"/>
  <c r="J34" i="15"/>
  <c r="H34" i="15"/>
  <c r="G34" i="15"/>
  <c r="D34" i="15"/>
  <c r="C34" i="15"/>
  <c r="S33" i="15"/>
  <c r="J33" i="15"/>
  <c r="H33" i="15"/>
  <c r="G33" i="15"/>
  <c r="D33" i="15"/>
  <c r="C33" i="15"/>
  <c r="S32" i="15"/>
  <c r="J32" i="15"/>
  <c r="H32" i="15"/>
  <c r="G32" i="15"/>
  <c r="D32" i="15"/>
  <c r="C32" i="15"/>
  <c r="S31" i="15"/>
  <c r="J31" i="15"/>
  <c r="H31" i="15"/>
  <c r="G31" i="15"/>
  <c r="D31" i="15"/>
  <c r="C31" i="15"/>
  <c r="S30" i="15"/>
  <c r="J30" i="15"/>
  <c r="H30" i="15"/>
  <c r="G30" i="15"/>
  <c r="D30" i="15"/>
  <c r="C30" i="15"/>
  <c r="S29" i="15"/>
  <c r="J29" i="15"/>
  <c r="H29" i="15"/>
  <c r="G29" i="15"/>
  <c r="D29" i="15"/>
  <c r="C29" i="15"/>
  <c r="S28" i="15"/>
  <c r="J28" i="15"/>
  <c r="H28" i="15"/>
  <c r="G28" i="15"/>
  <c r="D28" i="15"/>
  <c r="C28" i="15"/>
  <c r="S27" i="15"/>
  <c r="J27" i="15"/>
  <c r="H27" i="15"/>
  <c r="G27" i="15"/>
  <c r="D27" i="15"/>
  <c r="C27" i="15"/>
  <c r="S26" i="15"/>
  <c r="J26" i="15"/>
  <c r="H26" i="15"/>
  <c r="G26" i="15"/>
  <c r="D26" i="15"/>
  <c r="C26" i="15"/>
  <c r="S25" i="15"/>
  <c r="J25" i="15"/>
  <c r="H25" i="15"/>
  <c r="G25" i="15"/>
  <c r="D25" i="15"/>
  <c r="C25" i="15"/>
  <c r="S24" i="15"/>
  <c r="J24" i="15"/>
  <c r="H24" i="15"/>
  <c r="G24" i="15"/>
  <c r="D24" i="15"/>
  <c r="C24" i="15"/>
  <c r="S23" i="15"/>
  <c r="J23" i="15"/>
  <c r="H23" i="15"/>
  <c r="G23" i="15"/>
  <c r="D23" i="15"/>
  <c r="C23" i="15"/>
  <c r="S22" i="15"/>
  <c r="J22" i="15"/>
  <c r="H22" i="15"/>
  <c r="G22" i="15"/>
  <c r="D22" i="15"/>
  <c r="C22" i="15"/>
  <c r="S21" i="15"/>
  <c r="J21" i="15"/>
  <c r="H21" i="15"/>
  <c r="G21" i="15"/>
  <c r="D21" i="15"/>
  <c r="C21" i="15"/>
  <c r="S20" i="15"/>
  <c r="J20" i="15"/>
  <c r="H20" i="15"/>
  <c r="G20" i="15"/>
  <c r="D20" i="15"/>
  <c r="C20" i="15"/>
  <c r="S19" i="15"/>
  <c r="J19" i="15"/>
  <c r="H19" i="15"/>
  <c r="G19" i="15"/>
  <c r="D19" i="15"/>
  <c r="C19" i="15"/>
  <c r="S18" i="15"/>
  <c r="J18" i="15"/>
  <c r="H18" i="15"/>
  <c r="G18" i="15"/>
  <c r="D18" i="15"/>
  <c r="C18" i="15"/>
  <c r="S17" i="15"/>
  <c r="J17" i="15"/>
  <c r="H17" i="15"/>
  <c r="G17" i="15"/>
  <c r="D17" i="15"/>
  <c r="C17" i="15"/>
  <c r="S16" i="15"/>
  <c r="J16" i="15"/>
  <c r="H16" i="15"/>
  <c r="G16" i="15"/>
  <c r="D16" i="15"/>
  <c r="C16" i="15"/>
  <c r="S15" i="15"/>
  <c r="J15" i="15"/>
  <c r="H15" i="15"/>
  <c r="G15" i="15"/>
  <c r="D15" i="15"/>
  <c r="C15" i="15"/>
  <c r="S14" i="15"/>
  <c r="J14" i="15"/>
  <c r="H14" i="15"/>
  <c r="G14" i="15"/>
  <c r="D14" i="15"/>
  <c r="C14" i="15"/>
  <c r="S13" i="15"/>
  <c r="J13" i="15"/>
  <c r="H13" i="15"/>
  <c r="G13" i="15"/>
  <c r="D13" i="15"/>
  <c r="C13" i="15"/>
  <c r="S12" i="15"/>
  <c r="J12" i="15"/>
  <c r="H12" i="15"/>
  <c r="G12" i="15"/>
  <c r="D12" i="15"/>
  <c r="C12" i="15"/>
  <c r="S11" i="15"/>
  <c r="J11" i="15"/>
  <c r="H11" i="15"/>
  <c r="G11" i="15"/>
  <c r="D11" i="15"/>
  <c r="C11" i="15"/>
  <c r="S10" i="15"/>
  <c r="J10" i="15"/>
  <c r="H10" i="15"/>
  <c r="G10" i="15"/>
  <c r="D10" i="15"/>
  <c r="C10" i="15"/>
  <c r="S9" i="15"/>
  <c r="J9" i="15"/>
  <c r="H9" i="15"/>
  <c r="G9" i="15"/>
  <c r="D9" i="15"/>
  <c r="C9" i="15"/>
  <c r="S8" i="15"/>
  <c r="J8" i="15"/>
  <c r="H8" i="15"/>
  <c r="G8" i="15"/>
  <c r="D8" i="15"/>
  <c r="C8" i="15"/>
  <c r="S7" i="15"/>
  <c r="J7" i="15"/>
  <c r="H7" i="15"/>
  <c r="G7" i="15"/>
  <c r="D7" i="15"/>
  <c r="C7" i="15"/>
  <c r="S6" i="15"/>
  <c r="J6" i="15"/>
  <c r="H6" i="15"/>
  <c r="G6" i="15"/>
  <c r="D6" i="15"/>
  <c r="C6" i="15"/>
  <c r="X5" i="15"/>
  <c r="W5" i="15"/>
  <c r="S5" i="15"/>
  <c r="J5" i="15"/>
  <c r="X7" i="15" s="1"/>
  <c r="H5" i="15"/>
  <c r="G5" i="15"/>
  <c r="D5" i="15"/>
  <c r="C5" i="15"/>
  <c r="C2" i="15" l="1"/>
  <c r="E114" i="15" s="1"/>
  <c r="E115" i="15" s="1"/>
  <c r="L2" i="15"/>
  <c r="G2" i="15"/>
  <c r="D5" i="24"/>
  <c r="E5" i="15" l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L5" i="15"/>
  <c r="K5" i="15"/>
  <c r="M5" i="15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M6" i="15" l="1"/>
  <c r="R5" i="15"/>
  <c r="Q5" i="15"/>
  <c r="K6" i="15"/>
  <c r="L6" i="15"/>
  <c r="P5" i="15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G19" i="24"/>
  <c r="C19" i="24"/>
  <c r="S18" i="24"/>
  <c r="J18" i="24"/>
  <c r="H18" i="24"/>
  <c r="G18" i="24"/>
  <c r="C18" i="24"/>
  <c r="S17" i="24"/>
  <c r="J17" i="24"/>
  <c r="H17" i="24"/>
  <c r="G17" i="24"/>
  <c r="C17" i="24"/>
  <c r="S16" i="24"/>
  <c r="J16" i="24"/>
  <c r="H16" i="24"/>
  <c r="G16" i="24"/>
  <c r="C16" i="24"/>
  <c r="S15" i="24"/>
  <c r="J15" i="24"/>
  <c r="H15" i="24"/>
  <c r="G15" i="24"/>
  <c r="C15" i="24"/>
  <c r="S14" i="24"/>
  <c r="J14" i="24"/>
  <c r="H14" i="24"/>
  <c r="G14" i="24"/>
  <c r="C14" i="24"/>
  <c r="S13" i="24"/>
  <c r="J13" i="24"/>
  <c r="H13" i="24"/>
  <c r="G13" i="24"/>
  <c r="C13" i="24"/>
  <c r="S12" i="24"/>
  <c r="J12" i="24"/>
  <c r="H12" i="24"/>
  <c r="G12" i="24"/>
  <c r="C12" i="24"/>
  <c r="S11" i="24"/>
  <c r="J11" i="24"/>
  <c r="H11" i="24"/>
  <c r="G11" i="24"/>
  <c r="C11" i="24"/>
  <c r="S10" i="24"/>
  <c r="J10" i="24"/>
  <c r="H10" i="24"/>
  <c r="G10" i="24"/>
  <c r="C10" i="24"/>
  <c r="S9" i="24"/>
  <c r="J9" i="24"/>
  <c r="H9" i="24"/>
  <c r="G9" i="24"/>
  <c r="C9" i="24"/>
  <c r="S8" i="24"/>
  <c r="J8" i="24"/>
  <c r="H8" i="24"/>
  <c r="G8" i="24"/>
  <c r="C8" i="24"/>
  <c r="S7" i="24"/>
  <c r="J7" i="24"/>
  <c r="H7" i="24"/>
  <c r="G7" i="24"/>
  <c r="C7" i="24"/>
  <c r="AC6" i="24"/>
  <c r="S6" i="24"/>
  <c r="J6" i="24"/>
  <c r="H6" i="24"/>
  <c r="G6" i="24"/>
  <c r="C6" i="24"/>
  <c r="X5" i="24"/>
  <c r="W5" i="24"/>
  <c r="S5" i="24"/>
  <c r="J5" i="24"/>
  <c r="H5" i="24"/>
  <c r="L2" i="24" s="1"/>
  <c r="G5" i="24"/>
  <c r="C5" i="24"/>
  <c r="C2" i="24" l="1"/>
  <c r="X7" i="24"/>
  <c r="M5" i="24"/>
  <c r="M6" i="24" s="1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G2" i="24"/>
  <c r="Q6" i="15"/>
  <c r="K7" i="15"/>
  <c r="F5" i="15"/>
  <c r="O5" i="15" s="1"/>
  <c r="P6" i="15"/>
  <c r="L7" i="15"/>
  <c r="R6" i="15"/>
  <c r="M7" i="15"/>
  <c r="E5" i="24" l="1"/>
  <c r="E6" i="24" s="1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E114" i="24"/>
  <c r="E115" i="24" s="1"/>
  <c r="R5" i="24"/>
  <c r="L5" i="24"/>
  <c r="K5" i="24"/>
  <c r="U5" i="15"/>
  <c r="T5" i="15"/>
  <c r="V5" i="15"/>
  <c r="F6" i="15"/>
  <c r="O6" i="15" s="1"/>
  <c r="L8" i="15"/>
  <c r="P7" i="15"/>
  <c r="R7" i="15"/>
  <c r="M8" i="15"/>
  <c r="K8" i="15"/>
  <c r="Q7" i="15"/>
  <c r="R6" i="24"/>
  <c r="K6" i="24" l="1"/>
  <c r="Q5" i="24"/>
  <c r="L6" i="24"/>
  <c r="P5" i="24"/>
  <c r="F5" i="24" s="1"/>
  <c r="O5" i="24" s="1"/>
  <c r="T5" i="24" s="1"/>
  <c r="F7" i="15"/>
  <c r="O7" i="15" s="1"/>
  <c r="R8" i="15"/>
  <c r="M9" i="15"/>
  <c r="Q8" i="15"/>
  <c r="K9" i="15"/>
  <c r="P8" i="15"/>
  <c r="L9" i="15"/>
  <c r="U6" i="15"/>
  <c r="T6" i="15"/>
  <c r="V6" i="15"/>
  <c r="V5" i="24"/>
  <c r="R7" i="24"/>
  <c r="U5" i="24" l="1"/>
  <c r="L7" i="24"/>
  <c r="P6" i="24"/>
  <c r="F6" i="24" s="1"/>
  <c r="O6" i="24" s="1"/>
  <c r="T6" i="24" s="1"/>
  <c r="F8" i="15"/>
  <c r="O8" i="15" s="1"/>
  <c r="U8" i="15" s="1"/>
  <c r="K7" i="24"/>
  <c r="Q6" i="24"/>
  <c r="K10" i="15"/>
  <c r="Q9" i="15"/>
  <c r="V7" i="15"/>
  <c r="U7" i="15"/>
  <c r="T7" i="15"/>
  <c r="T8" i="15"/>
  <c r="P9" i="15"/>
  <c r="L10" i="15"/>
  <c r="R9" i="15"/>
  <c r="M10" i="15"/>
  <c r="U6" i="24"/>
  <c r="V6" i="24"/>
  <c r="R8" i="24"/>
  <c r="AB6" i="15"/>
  <c r="AC6" i="15" s="1"/>
  <c r="D34" i="16"/>
  <c r="K41" i="16" s="1"/>
  <c r="D35" i="16"/>
  <c r="D36" i="16"/>
  <c r="D37" i="16"/>
  <c r="D38" i="16"/>
  <c r="D39" i="16"/>
  <c r="D40" i="16"/>
  <c r="D41" i="16"/>
  <c r="D33" i="16"/>
  <c r="K39" i="16" s="1"/>
  <c r="D32" i="16"/>
  <c r="D31" i="16"/>
  <c r="K37" i="16" s="1"/>
  <c r="D30" i="16"/>
  <c r="D29" i="16"/>
  <c r="K35" i="16" s="1"/>
  <c r="D28" i="16"/>
  <c r="D27" i="16"/>
  <c r="K33" i="16" s="1"/>
  <c r="D26" i="16"/>
  <c r="D25" i="16"/>
  <c r="K31" i="16" s="1"/>
  <c r="K32" i="16"/>
  <c r="D24" i="16"/>
  <c r="D23" i="16"/>
  <c r="K29" i="16" s="1"/>
  <c r="K30" i="16"/>
  <c r="D22" i="16"/>
  <c r="D21" i="16"/>
  <c r="K27" i="16" s="1"/>
  <c r="K28" i="16"/>
  <c r="D20" i="16"/>
  <c r="D19" i="16"/>
  <c r="K25" i="16" s="1"/>
  <c r="K26" i="16"/>
  <c r="D18" i="16"/>
  <c r="D17" i="16"/>
  <c r="K23" i="16" s="1"/>
  <c r="K24" i="16"/>
  <c r="D16" i="16"/>
  <c r="D15" i="16"/>
  <c r="K21" i="16" s="1"/>
  <c r="K22" i="16"/>
  <c r="D14" i="16"/>
  <c r="D13" i="16"/>
  <c r="K19" i="16" s="1"/>
  <c r="K20" i="16"/>
  <c r="D12" i="16"/>
  <c r="D11" i="16"/>
  <c r="K17" i="16" s="1"/>
  <c r="K18" i="16"/>
  <c r="D10" i="16"/>
  <c r="D9" i="16"/>
  <c r="K15" i="16" s="1"/>
  <c r="K16" i="16"/>
  <c r="D8" i="16"/>
  <c r="D7" i="16"/>
  <c r="K13" i="16" s="1"/>
  <c r="K14" i="16"/>
  <c r="D6" i="16"/>
  <c r="D5" i="16"/>
  <c r="K11" i="16" s="1"/>
  <c r="K12" i="16"/>
  <c r="D4" i="16"/>
  <c r="D3" i="16"/>
  <c r="K5" i="16" s="1"/>
  <c r="K10" i="16"/>
  <c r="D2" i="16"/>
  <c r="K2" i="16"/>
  <c r="K7" i="16"/>
  <c r="K3" i="16"/>
  <c r="K4" i="16"/>
  <c r="K34" i="16" l="1"/>
  <c r="K36" i="16"/>
  <c r="K38" i="16"/>
  <c r="K40" i="16"/>
  <c r="K6" i="16"/>
  <c r="K9" i="16"/>
  <c r="K8" i="16"/>
  <c r="V8" i="15"/>
  <c r="L8" i="24"/>
  <c r="P7" i="24"/>
  <c r="K8" i="24"/>
  <c r="Q7" i="24"/>
  <c r="R10" i="15"/>
  <c r="M11" i="15"/>
  <c r="P10" i="15"/>
  <c r="L11" i="15"/>
  <c r="F9" i="15"/>
  <c r="O9" i="15" s="1"/>
  <c r="Q10" i="15"/>
  <c r="K11" i="15"/>
  <c r="R9" i="24"/>
  <c r="K9" i="24" l="1"/>
  <c r="Q8" i="24"/>
  <c r="F7" i="24"/>
  <c r="O7" i="24" s="1"/>
  <c r="L9" i="24"/>
  <c r="P8" i="24"/>
  <c r="F8" i="24" s="1"/>
  <c r="O8" i="24" s="1"/>
  <c r="K12" i="15"/>
  <c r="Q11" i="15"/>
  <c r="L12" i="15"/>
  <c r="P11" i="15"/>
  <c r="F10" i="15"/>
  <c r="O10" i="15" s="1"/>
  <c r="R11" i="15"/>
  <c r="M12" i="15"/>
  <c r="V9" i="15"/>
  <c r="U9" i="15"/>
  <c r="T9" i="15"/>
  <c r="R10" i="24"/>
  <c r="V8" i="24"/>
  <c r="U8" i="24"/>
  <c r="T8" i="24"/>
  <c r="U7" i="24" l="1"/>
  <c r="V7" i="24"/>
  <c r="T7" i="24"/>
  <c r="L10" i="24"/>
  <c r="P9" i="24"/>
  <c r="K10" i="24"/>
  <c r="Q9" i="24"/>
  <c r="F11" i="15"/>
  <c r="O11" i="15" s="1"/>
  <c r="R12" i="15"/>
  <c r="M13" i="15"/>
  <c r="P12" i="15"/>
  <c r="L13" i="15"/>
  <c r="T10" i="15"/>
  <c r="U10" i="15"/>
  <c r="V10" i="15"/>
  <c r="Q12" i="15"/>
  <c r="K13" i="15"/>
  <c r="R11" i="24"/>
  <c r="L11" i="24" l="1"/>
  <c r="P10" i="24"/>
  <c r="K11" i="24"/>
  <c r="Q10" i="24"/>
  <c r="F9" i="24"/>
  <c r="O9" i="24" s="1"/>
  <c r="P13" i="15"/>
  <c r="L14" i="15"/>
  <c r="R13" i="15"/>
  <c r="M14" i="15"/>
  <c r="K14" i="15"/>
  <c r="Q13" i="15"/>
  <c r="F12" i="15"/>
  <c r="O12" i="15" s="1"/>
  <c r="V11" i="15"/>
  <c r="U11" i="15"/>
  <c r="T11" i="15"/>
  <c r="R12" i="24"/>
  <c r="K12" i="24" l="1"/>
  <c r="Q11" i="24"/>
  <c r="F10" i="24"/>
  <c r="O10" i="24" s="1"/>
  <c r="V9" i="24"/>
  <c r="T9" i="24"/>
  <c r="U9" i="24"/>
  <c r="L12" i="24"/>
  <c r="P11" i="24"/>
  <c r="F11" i="24" s="1"/>
  <c r="O11" i="24" s="1"/>
  <c r="T11" i="24" s="1"/>
  <c r="R14" i="15"/>
  <c r="M15" i="15"/>
  <c r="T12" i="15"/>
  <c r="U12" i="15"/>
  <c r="V12" i="15"/>
  <c r="P14" i="15"/>
  <c r="L15" i="15"/>
  <c r="Q14" i="15"/>
  <c r="K15" i="15"/>
  <c r="F13" i="15"/>
  <c r="O13" i="15" s="1"/>
  <c r="R13" i="24"/>
  <c r="V11" i="24" l="1"/>
  <c r="F14" i="15"/>
  <c r="O14" i="15" s="1"/>
  <c r="U11" i="24"/>
  <c r="L13" i="24"/>
  <c r="P12" i="24"/>
  <c r="U10" i="24"/>
  <c r="T10" i="24"/>
  <c r="V10" i="24"/>
  <c r="K13" i="24"/>
  <c r="Q12" i="24"/>
  <c r="P15" i="15"/>
  <c r="L16" i="15"/>
  <c r="V13" i="15"/>
  <c r="U13" i="15"/>
  <c r="T13" i="15"/>
  <c r="R15" i="15"/>
  <c r="M16" i="15"/>
  <c r="T14" i="15"/>
  <c r="U14" i="15"/>
  <c r="V14" i="15"/>
  <c r="K16" i="15"/>
  <c r="Q15" i="15"/>
  <c r="R14" i="24"/>
  <c r="L14" i="24" l="1"/>
  <c r="P13" i="24"/>
  <c r="K14" i="24"/>
  <c r="Q13" i="24"/>
  <c r="F12" i="24"/>
  <c r="O12" i="24" s="1"/>
  <c r="R16" i="15"/>
  <c r="M17" i="15"/>
  <c r="P16" i="15"/>
  <c r="F16" i="15" s="1"/>
  <c r="O16" i="15" s="1"/>
  <c r="L17" i="15"/>
  <c r="Q16" i="15"/>
  <c r="K17" i="15"/>
  <c r="F15" i="15"/>
  <c r="O15" i="15" s="1"/>
  <c r="R15" i="24"/>
  <c r="K15" i="24" l="1"/>
  <c r="Q14" i="24"/>
  <c r="F13" i="24"/>
  <c r="O13" i="24" s="1"/>
  <c r="T12" i="24"/>
  <c r="U12" i="24"/>
  <c r="V12" i="24"/>
  <c r="L15" i="24"/>
  <c r="P14" i="24"/>
  <c r="F14" i="24" s="1"/>
  <c r="O14" i="24" s="1"/>
  <c r="U14" i="24" s="1"/>
  <c r="L18" i="15"/>
  <c r="P17" i="15"/>
  <c r="V15" i="15"/>
  <c r="U15" i="15"/>
  <c r="T15" i="15"/>
  <c r="R17" i="15"/>
  <c r="M18" i="15"/>
  <c r="T16" i="15"/>
  <c r="U16" i="15"/>
  <c r="V16" i="15"/>
  <c r="K18" i="15"/>
  <c r="Q17" i="15"/>
  <c r="R16" i="24"/>
  <c r="V13" i="24" l="1"/>
  <c r="T13" i="24"/>
  <c r="U13" i="24"/>
  <c r="V14" i="24"/>
  <c r="L16" i="24"/>
  <c r="P15" i="24"/>
  <c r="F15" i="24" s="1"/>
  <c r="O15" i="24" s="1"/>
  <c r="T15" i="24" s="1"/>
  <c r="T14" i="24"/>
  <c r="K16" i="24"/>
  <c r="Q15" i="24"/>
  <c r="K19" i="15"/>
  <c r="Q18" i="15"/>
  <c r="R18" i="15"/>
  <c r="M19" i="15"/>
  <c r="F17" i="15"/>
  <c r="O17" i="15" s="1"/>
  <c r="P18" i="15"/>
  <c r="L19" i="15"/>
  <c r="R17" i="24"/>
  <c r="U15" i="24"/>
  <c r="V15" i="24"/>
  <c r="K17" i="24" l="1"/>
  <c r="Q16" i="24"/>
  <c r="L17" i="24"/>
  <c r="P16" i="24"/>
  <c r="F16" i="24" s="1"/>
  <c r="O16" i="24" s="1"/>
  <c r="V16" i="24" s="1"/>
  <c r="R19" i="15"/>
  <c r="M20" i="15"/>
  <c r="L20" i="15"/>
  <c r="P19" i="15"/>
  <c r="F18" i="15"/>
  <c r="O18" i="15" s="1"/>
  <c r="V17" i="15"/>
  <c r="U17" i="15"/>
  <c r="T17" i="15"/>
  <c r="K20" i="15"/>
  <c r="Q19" i="15"/>
  <c r="R18" i="24"/>
  <c r="L18" i="24" l="1"/>
  <c r="P17" i="24"/>
  <c r="U16" i="24"/>
  <c r="T16" i="24"/>
  <c r="K18" i="24"/>
  <c r="Q17" i="24"/>
  <c r="F19" i="15"/>
  <c r="O19" i="15" s="1"/>
  <c r="P20" i="15"/>
  <c r="L21" i="15"/>
  <c r="R20" i="15"/>
  <c r="M21" i="15"/>
  <c r="K21" i="15"/>
  <c r="Q20" i="15"/>
  <c r="T18" i="15"/>
  <c r="U18" i="15"/>
  <c r="V18" i="15"/>
  <c r="R19" i="24"/>
  <c r="F17" i="24" l="1"/>
  <c r="O17" i="24" s="1"/>
  <c r="K19" i="24"/>
  <c r="Q18" i="24"/>
  <c r="L19" i="24"/>
  <c r="P18" i="24"/>
  <c r="L22" i="15"/>
  <c r="P21" i="15"/>
  <c r="K22" i="15"/>
  <c r="Q21" i="15"/>
  <c r="F20" i="15"/>
  <c r="O20" i="15" s="1"/>
  <c r="R21" i="15"/>
  <c r="M22" i="15"/>
  <c r="V19" i="15"/>
  <c r="U19" i="15"/>
  <c r="T19" i="15"/>
  <c r="R20" i="24"/>
  <c r="L20" i="24" l="1"/>
  <c r="P19" i="24"/>
  <c r="K20" i="24"/>
  <c r="Q19" i="24"/>
  <c r="F18" i="24"/>
  <c r="O18" i="24" s="1"/>
  <c r="U17" i="24"/>
  <c r="T17" i="24"/>
  <c r="V17" i="24"/>
  <c r="Q22" i="15"/>
  <c r="K23" i="15"/>
  <c r="R22" i="15"/>
  <c r="M23" i="15"/>
  <c r="F21" i="15"/>
  <c r="O21" i="15" s="1"/>
  <c r="T20" i="15"/>
  <c r="U20" i="15"/>
  <c r="V20" i="15"/>
  <c r="P22" i="15"/>
  <c r="F22" i="15" s="1"/>
  <c r="O22" i="15" s="1"/>
  <c r="L23" i="15"/>
  <c r="R21" i="24"/>
  <c r="K21" i="24" l="1"/>
  <c r="Q20" i="24"/>
  <c r="F19" i="24"/>
  <c r="O19" i="24" s="1"/>
  <c r="T18" i="24"/>
  <c r="U18" i="24"/>
  <c r="V18" i="24"/>
  <c r="L21" i="24"/>
  <c r="P20" i="24"/>
  <c r="F20" i="24" s="1"/>
  <c r="O20" i="24" s="1"/>
  <c r="T20" i="24" s="1"/>
  <c r="R23" i="15"/>
  <c r="M24" i="15"/>
  <c r="P23" i="15"/>
  <c r="L24" i="15"/>
  <c r="K24" i="15"/>
  <c r="Q23" i="15"/>
  <c r="T22" i="15"/>
  <c r="U22" i="15"/>
  <c r="V22" i="15"/>
  <c r="V21" i="15"/>
  <c r="U21" i="15"/>
  <c r="T21" i="15"/>
  <c r="R22" i="24"/>
  <c r="U19" i="24" l="1"/>
  <c r="V19" i="24"/>
  <c r="T19" i="24"/>
  <c r="U20" i="24"/>
  <c r="V20" i="24"/>
  <c r="L22" i="24"/>
  <c r="P21" i="24"/>
  <c r="F21" i="24" s="1"/>
  <c r="O21" i="24" s="1"/>
  <c r="V21" i="24" s="1"/>
  <c r="K22" i="24"/>
  <c r="Q21" i="24"/>
  <c r="P24" i="15"/>
  <c r="L25" i="15"/>
  <c r="F23" i="15"/>
  <c r="O23" i="15" s="1"/>
  <c r="R24" i="15"/>
  <c r="M25" i="15"/>
  <c r="Q24" i="15"/>
  <c r="K25" i="15"/>
  <c r="R23" i="24"/>
  <c r="T21" i="24"/>
  <c r="U21" i="24" l="1"/>
  <c r="L23" i="24"/>
  <c r="P22" i="24"/>
  <c r="F22" i="24" s="1"/>
  <c r="O22" i="24" s="1"/>
  <c r="V22" i="24" s="1"/>
  <c r="K23" i="24"/>
  <c r="Q22" i="24"/>
  <c r="V23" i="15"/>
  <c r="U23" i="15"/>
  <c r="T23" i="15"/>
  <c r="L26" i="15"/>
  <c r="P25" i="15"/>
  <c r="K26" i="15"/>
  <c r="Q25" i="15"/>
  <c r="R25" i="15"/>
  <c r="M26" i="15"/>
  <c r="F24" i="15"/>
  <c r="O24" i="15" s="1"/>
  <c r="R24" i="24"/>
  <c r="L24" i="24" l="1"/>
  <c r="P23" i="24"/>
  <c r="F23" i="24" s="1"/>
  <c r="O23" i="24" s="1"/>
  <c r="V23" i="24" s="1"/>
  <c r="U22" i="24"/>
  <c r="K24" i="24"/>
  <c r="Q23" i="24"/>
  <c r="T22" i="24"/>
  <c r="P26" i="15"/>
  <c r="L27" i="15"/>
  <c r="K27" i="15"/>
  <c r="Q26" i="15"/>
  <c r="T24" i="15"/>
  <c r="U24" i="15"/>
  <c r="V24" i="15"/>
  <c r="R26" i="15"/>
  <c r="M27" i="15"/>
  <c r="F25" i="15"/>
  <c r="O25" i="15" s="1"/>
  <c r="U23" i="24"/>
  <c r="T23" i="24"/>
  <c r="R25" i="24"/>
  <c r="K25" i="24" l="1"/>
  <c r="Q24" i="24"/>
  <c r="L25" i="24"/>
  <c r="P24" i="24"/>
  <c r="F24" i="24" s="1"/>
  <c r="O24" i="24" s="1"/>
  <c r="T24" i="24" s="1"/>
  <c r="V25" i="15"/>
  <c r="U25" i="15"/>
  <c r="T25" i="15"/>
  <c r="K28" i="15"/>
  <c r="Q27" i="15"/>
  <c r="L28" i="15"/>
  <c r="P27" i="15"/>
  <c r="R27" i="15"/>
  <c r="M28" i="15"/>
  <c r="F26" i="15"/>
  <c r="O26" i="15" s="1"/>
  <c r="R26" i="24"/>
  <c r="U24" i="24" l="1"/>
  <c r="L26" i="24"/>
  <c r="P25" i="24"/>
  <c r="V24" i="24"/>
  <c r="F27" i="15"/>
  <c r="O27" i="15" s="1"/>
  <c r="T27" i="15" s="1"/>
  <c r="K26" i="24"/>
  <c r="Q25" i="24"/>
  <c r="V27" i="15"/>
  <c r="U27" i="15"/>
  <c r="K29" i="15"/>
  <c r="Q28" i="15"/>
  <c r="T26" i="15"/>
  <c r="U26" i="15"/>
  <c r="V26" i="15"/>
  <c r="P28" i="15"/>
  <c r="L29" i="15"/>
  <c r="R28" i="15"/>
  <c r="M29" i="15"/>
  <c r="R27" i="24"/>
  <c r="F25" i="24" l="1"/>
  <c r="O25" i="24" s="1"/>
  <c r="K27" i="24"/>
  <c r="Q26" i="24"/>
  <c r="L27" i="24"/>
  <c r="P26" i="24"/>
  <c r="F26" i="24" s="1"/>
  <c r="O26" i="24" s="1"/>
  <c r="V26" i="24" s="1"/>
  <c r="K30" i="15"/>
  <c r="Q29" i="15"/>
  <c r="P29" i="15"/>
  <c r="F29" i="15" s="1"/>
  <c r="O29" i="15" s="1"/>
  <c r="L30" i="15"/>
  <c r="R29" i="15"/>
  <c r="M30" i="15"/>
  <c r="F28" i="15"/>
  <c r="O28" i="15" s="1"/>
  <c r="U26" i="24"/>
  <c r="R28" i="24"/>
  <c r="L28" i="24" l="1"/>
  <c r="P27" i="24"/>
  <c r="T26" i="24"/>
  <c r="K28" i="24"/>
  <c r="Q27" i="24"/>
  <c r="T25" i="24"/>
  <c r="V25" i="24"/>
  <c r="U25" i="24"/>
  <c r="P30" i="15"/>
  <c r="L31" i="15"/>
  <c r="T29" i="15"/>
  <c r="U29" i="15"/>
  <c r="V29" i="15"/>
  <c r="T28" i="15"/>
  <c r="U28" i="15"/>
  <c r="V28" i="15"/>
  <c r="R30" i="15"/>
  <c r="M31" i="15"/>
  <c r="K31" i="15"/>
  <c r="Q30" i="15"/>
  <c r="R29" i="24"/>
  <c r="F27" i="24" l="1"/>
  <c r="O27" i="24" s="1"/>
  <c r="K29" i="24"/>
  <c r="Q28" i="24"/>
  <c r="L29" i="24"/>
  <c r="P28" i="24"/>
  <c r="F28" i="24" s="1"/>
  <c r="O28" i="24" s="1"/>
  <c r="V28" i="24" s="1"/>
  <c r="K32" i="15"/>
  <c r="Q31" i="15"/>
  <c r="P31" i="15"/>
  <c r="F31" i="15" s="1"/>
  <c r="O31" i="15" s="1"/>
  <c r="L32" i="15"/>
  <c r="R31" i="15"/>
  <c r="M32" i="15"/>
  <c r="F30" i="15"/>
  <c r="O30" i="15" s="1"/>
  <c r="T28" i="24"/>
  <c r="R30" i="24"/>
  <c r="L30" i="24" l="1"/>
  <c r="P29" i="24"/>
  <c r="F29" i="24" s="1"/>
  <c r="O29" i="24" s="1"/>
  <c r="V29" i="24" s="1"/>
  <c r="U28" i="24"/>
  <c r="K30" i="24"/>
  <c r="Q29" i="24"/>
  <c r="V27" i="24"/>
  <c r="U27" i="24"/>
  <c r="T27" i="24"/>
  <c r="V31" i="15"/>
  <c r="T31" i="15"/>
  <c r="U31" i="15"/>
  <c r="P32" i="15"/>
  <c r="L33" i="15"/>
  <c r="R32" i="15"/>
  <c r="M33" i="15"/>
  <c r="T30" i="15"/>
  <c r="V30" i="15"/>
  <c r="U30" i="15"/>
  <c r="K33" i="15"/>
  <c r="Q32" i="15"/>
  <c r="R31" i="24"/>
  <c r="U29" i="24" l="1"/>
  <c r="T29" i="24"/>
  <c r="K31" i="24"/>
  <c r="Q30" i="24"/>
  <c r="L31" i="24"/>
  <c r="P30" i="24"/>
  <c r="F30" i="24" s="1"/>
  <c r="O30" i="24" s="1"/>
  <c r="U30" i="24" s="1"/>
  <c r="F32" i="15"/>
  <c r="O32" i="15" s="1"/>
  <c r="K34" i="15"/>
  <c r="Q33" i="15"/>
  <c r="R33" i="15"/>
  <c r="M34" i="15"/>
  <c r="P33" i="15"/>
  <c r="L34" i="15"/>
  <c r="R32" i="24"/>
  <c r="V30" i="24" l="1"/>
  <c r="T30" i="24"/>
  <c r="K32" i="24"/>
  <c r="Q31" i="24"/>
  <c r="L32" i="24"/>
  <c r="P31" i="24"/>
  <c r="R34" i="15"/>
  <c r="M35" i="15"/>
  <c r="P34" i="15"/>
  <c r="L35" i="15"/>
  <c r="F33" i="15"/>
  <c r="O33" i="15" s="1"/>
  <c r="K35" i="15"/>
  <c r="Q34" i="15"/>
  <c r="T32" i="15"/>
  <c r="V32" i="15"/>
  <c r="U32" i="15"/>
  <c r="R33" i="24"/>
  <c r="K33" i="24" l="1"/>
  <c r="Q32" i="24"/>
  <c r="F31" i="24"/>
  <c r="O31" i="24" s="1"/>
  <c r="L33" i="24"/>
  <c r="P32" i="24"/>
  <c r="F32" i="24" s="1"/>
  <c r="O32" i="24" s="1"/>
  <c r="T32" i="24" s="1"/>
  <c r="F34" i="15"/>
  <c r="O34" i="15" s="1"/>
  <c r="P35" i="15"/>
  <c r="L36" i="15"/>
  <c r="K36" i="15"/>
  <c r="Q35" i="15"/>
  <c r="R35" i="15"/>
  <c r="M36" i="15"/>
  <c r="V33" i="15"/>
  <c r="T33" i="15"/>
  <c r="U33" i="15"/>
  <c r="U32" i="24"/>
  <c r="V32" i="24"/>
  <c r="R34" i="24"/>
  <c r="L34" i="24" l="1"/>
  <c r="P33" i="24"/>
  <c r="T31" i="24"/>
  <c r="U31" i="24"/>
  <c r="V31" i="24"/>
  <c r="K34" i="24"/>
  <c r="Q33" i="24"/>
  <c r="R36" i="15"/>
  <c r="M37" i="15"/>
  <c r="K37" i="15"/>
  <c r="Q36" i="15"/>
  <c r="P36" i="15"/>
  <c r="L37" i="15"/>
  <c r="F35" i="15"/>
  <c r="O35" i="15" s="1"/>
  <c r="T34" i="15"/>
  <c r="V34" i="15"/>
  <c r="U34" i="15"/>
  <c r="R35" i="24"/>
  <c r="K35" i="24" l="1"/>
  <c r="Q34" i="24"/>
  <c r="F33" i="24"/>
  <c r="O33" i="24" s="1"/>
  <c r="L35" i="24"/>
  <c r="P34" i="24"/>
  <c r="V35" i="15"/>
  <c r="T35" i="15"/>
  <c r="U35" i="15"/>
  <c r="K38" i="15"/>
  <c r="Q37" i="15"/>
  <c r="P37" i="15"/>
  <c r="L38" i="15"/>
  <c r="R37" i="15"/>
  <c r="M38" i="15"/>
  <c r="F36" i="15"/>
  <c r="O36" i="15" s="1"/>
  <c r="R36" i="24"/>
  <c r="L36" i="24" l="1"/>
  <c r="P35" i="24"/>
  <c r="V33" i="24"/>
  <c r="U33" i="24"/>
  <c r="T33" i="24"/>
  <c r="F34" i="24"/>
  <c r="O34" i="24" s="1"/>
  <c r="K36" i="24"/>
  <c r="Q35" i="24"/>
  <c r="T36" i="15"/>
  <c r="V36" i="15"/>
  <c r="U36" i="15"/>
  <c r="K39" i="15"/>
  <c r="Q38" i="15"/>
  <c r="P38" i="15"/>
  <c r="F38" i="15" s="1"/>
  <c r="O38" i="15" s="1"/>
  <c r="L39" i="15"/>
  <c r="F37" i="15"/>
  <c r="O37" i="15" s="1"/>
  <c r="R38" i="15"/>
  <c r="M39" i="15"/>
  <c r="R37" i="24"/>
  <c r="K37" i="24" l="1"/>
  <c r="Q36" i="24"/>
  <c r="U34" i="24"/>
  <c r="T34" i="24"/>
  <c r="V34" i="24"/>
  <c r="F35" i="24"/>
  <c r="O35" i="24" s="1"/>
  <c r="L37" i="24"/>
  <c r="P36" i="24"/>
  <c r="F36" i="24" s="1"/>
  <c r="O36" i="24" s="1"/>
  <c r="T36" i="24" s="1"/>
  <c r="T38" i="15"/>
  <c r="V38" i="15"/>
  <c r="U38" i="15"/>
  <c r="V37" i="15"/>
  <c r="T37" i="15"/>
  <c r="U37" i="15"/>
  <c r="K40" i="15"/>
  <c r="Q39" i="15"/>
  <c r="P39" i="15"/>
  <c r="L40" i="15"/>
  <c r="R39" i="15"/>
  <c r="M40" i="15"/>
  <c r="R38" i="24"/>
  <c r="L38" i="24" l="1"/>
  <c r="P37" i="24"/>
  <c r="T35" i="24"/>
  <c r="U35" i="24"/>
  <c r="V35" i="24"/>
  <c r="U36" i="24"/>
  <c r="V36" i="24"/>
  <c r="K38" i="24"/>
  <c r="Q37" i="24"/>
  <c r="R40" i="15"/>
  <c r="M41" i="15"/>
  <c r="K41" i="15"/>
  <c r="Q40" i="15"/>
  <c r="P40" i="15"/>
  <c r="L41" i="15"/>
  <c r="F39" i="15"/>
  <c r="O39" i="15" s="1"/>
  <c r="R39" i="24"/>
  <c r="K39" i="24" l="1"/>
  <c r="Q38" i="24"/>
  <c r="F37" i="24"/>
  <c r="O37" i="24" s="1"/>
  <c r="L39" i="24"/>
  <c r="P38" i="24"/>
  <c r="K42" i="15"/>
  <c r="Q41" i="15"/>
  <c r="V39" i="15"/>
  <c r="T39" i="15"/>
  <c r="U39" i="15"/>
  <c r="P41" i="15"/>
  <c r="L42" i="15"/>
  <c r="R41" i="15"/>
  <c r="M42" i="15"/>
  <c r="F40" i="15"/>
  <c r="O40" i="15" s="1"/>
  <c r="R40" i="24"/>
  <c r="L40" i="24" l="1"/>
  <c r="P39" i="24"/>
  <c r="T37" i="24"/>
  <c r="V37" i="24"/>
  <c r="U37" i="24"/>
  <c r="F38" i="24"/>
  <c r="O38" i="24" s="1"/>
  <c r="K40" i="24"/>
  <c r="Q39" i="24"/>
  <c r="T40" i="15"/>
  <c r="V40" i="15"/>
  <c r="U40" i="15"/>
  <c r="P42" i="15"/>
  <c r="L43" i="15"/>
  <c r="F41" i="15"/>
  <c r="O41" i="15" s="1"/>
  <c r="R42" i="15"/>
  <c r="M43" i="15"/>
  <c r="K43" i="15"/>
  <c r="Q42" i="15"/>
  <c r="R41" i="24"/>
  <c r="F42" i="15" l="1"/>
  <c r="O42" i="15" s="1"/>
  <c r="K41" i="24"/>
  <c r="Q40" i="24"/>
  <c r="T38" i="24"/>
  <c r="V38" i="24"/>
  <c r="U38" i="24"/>
  <c r="F39" i="24"/>
  <c r="O39" i="24" s="1"/>
  <c r="L41" i="24"/>
  <c r="P40" i="24"/>
  <c r="F40" i="24" s="1"/>
  <c r="O40" i="24" s="1"/>
  <c r="T40" i="24" s="1"/>
  <c r="V41" i="15"/>
  <c r="U41" i="15"/>
  <c r="T41" i="15"/>
  <c r="R43" i="15"/>
  <c r="M44" i="15"/>
  <c r="T42" i="15"/>
  <c r="V42" i="15"/>
  <c r="U42" i="15"/>
  <c r="K44" i="15"/>
  <c r="Q43" i="15"/>
  <c r="P43" i="15"/>
  <c r="F43" i="15" s="1"/>
  <c r="O43" i="15" s="1"/>
  <c r="L44" i="15"/>
  <c r="V40" i="24"/>
  <c r="U40" i="24"/>
  <c r="R42" i="24"/>
  <c r="L42" i="24" l="1"/>
  <c r="P41" i="24"/>
  <c r="U39" i="24"/>
  <c r="V39" i="24"/>
  <c r="T39" i="24"/>
  <c r="K42" i="24"/>
  <c r="Q41" i="24"/>
  <c r="V43" i="15"/>
  <c r="U43" i="15"/>
  <c r="T43" i="15"/>
  <c r="P44" i="15"/>
  <c r="L45" i="15"/>
  <c r="K45" i="15"/>
  <c r="Q44" i="15"/>
  <c r="R44" i="15"/>
  <c r="M45" i="15"/>
  <c r="R43" i="24"/>
  <c r="K43" i="24" l="1"/>
  <c r="Q42" i="24"/>
  <c r="F41" i="24"/>
  <c r="O41" i="24" s="1"/>
  <c r="L43" i="24"/>
  <c r="P42" i="24"/>
  <c r="K46" i="15"/>
  <c r="Q45" i="15"/>
  <c r="F44" i="15"/>
  <c r="O44" i="15" s="1"/>
  <c r="R45" i="15"/>
  <c r="M46" i="15"/>
  <c r="P45" i="15"/>
  <c r="L46" i="15"/>
  <c r="R44" i="24"/>
  <c r="V41" i="24" l="1"/>
  <c r="U41" i="24"/>
  <c r="T41" i="24"/>
  <c r="L44" i="24"/>
  <c r="P43" i="24"/>
  <c r="F43" i="24" s="1"/>
  <c r="O43" i="24" s="1"/>
  <c r="U43" i="24" s="1"/>
  <c r="F42" i="24"/>
  <c r="O42" i="24" s="1"/>
  <c r="K44" i="24"/>
  <c r="Q43" i="24"/>
  <c r="T44" i="15"/>
  <c r="V44" i="15"/>
  <c r="U44" i="15"/>
  <c r="P46" i="15"/>
  <c r="L47" i="15"/>
  <c r="F45" i="15"/>
  <c r="O45" i="15" s="1"/>
  <c r="R46" i="15"/>
  <c r="M47" i="15"/>
  <c r="K47" i="15"/>
  <c r="Q46" i="15"/>
  <c r="V43" i="24"/>
  <c r="R45" i="24"/>
  <c r="T43" i="24" l="1"/>
  <c r="F46" i="15"/>
  <c r="O46" i="15" s="1"/>
  <c r="U46" i="15" s="1"/>
  <c r="L45" i="24"/>
  <c r="P44" i="24"/>
  <c r="F44" i="24" s="1"/>
  <c r="O44" i="24" s="1"/>
  <c r="T44" i="24" s="1"/>
  <c r="K45" i="24"/>
  <c r="Q44" i="24"/>
  <c r="U42" i="24"/>
  <c r="T42" i="24"/>
  <c r="V42" i="24"/>
  <c r="R47" i="15"/>
  <c r="M48" i="15"/>
  <c r="V45" i="15"/>
  <c r="U45" i="15"/>
  <c r="T45" i="15"/>
  <c r="T46" i="15"/>
  <c r="V46" i="15"/>
  <c r="K48" i="15"/>
  <c r="Q47" i="15"/>
  <c r="P47" i="15"/>
  <c r="F47" i="15" s="1"/>
  <c r="O47" i="15" s="1"/>
  <c r="L48" i="15"/>
  <c r="R46" i="24"/>
  <c r="V44" i="24" l="1"/>
  <c r="L46" i="24"/>
  <c r="P45" i="24"/>
  <c r="F45" i="24" s="1"/>
  <c r="O45" i="24" s="1"/>
  <c r="U45" i="24" s="1"/>
  <c r="U44" i="24"/>
  <c r="K46" i="24"/>
  <c r="Q45" i="24"/>
  <c r="P48" i="15"/>
  <c r="L49" i="15"/>
  <c r="R48" i="15"/>
  <c r="M49" i="15"/>
  <c r="V47" i="15"/>
  <c r="U47" i="15"/>
  <c r="T47" i="15"/>
  <c r="K49" i="15"/>
  <c r="Q48" i="15"/>
  <c r="R47" i="24"/>
  <c r="V45" i="24"/>
  <c r="T45" i="24" l="1"/>
  <c r="L47" i="24"/>
  <c r="P46" i="24"/>
  <c r="F46" i="24" s="1"/>
  <c r="O46" i="24" s="1"/>
  <c r="U46" i="24" s="1"/>
  <c r="K47" i="24"/>
  <c r="Q46" i="24"/>
  <c r="K50" i="15"/>
  <c r="Q49" i="15"/>
  <c r="R49" i="15"/>
  <c r="M50" i="15"/>
  <c r="P49" i="15"/>
  <c r="L50" i="15"/>
  <c r="F48" i="15"/>
  <c r="O48" i="15" s="1"/>
  <c r="R48" i="24"/>
  <c r="V46" i="24"/>
  <c r="K48" i="24" l="1"/>
  <c r="Q47" i="24"/>
  <c r="T46" i="24"/>
  <c r="L48" i="24"/>
  <c r="P47" i="24"/>
  <c r="F47" i="24" s="1"/>
  <c r="O47" i="24" s="1"/>
  <c r="U47" i="24" s="1"/>
  <c r="T48" i="15"/>
  <c r="V48" i="15"/>
  <c r="U48" i="15"/>
  <c r="R50" i="15"/>
  <c r="M51" i="15"/>
  <c r="P50" i="15"/>
  <c r="L51" i="15"/>
  <c r="F49" i="15"/>
  <c r="O49" i="15" s="1"/>
  <c r="K51" i="15"/>
  <c r="Q50" i="15"/>
  <c r="V47" i="24"/>
  <c r="R49" i="24"/>
  <c r="L49" i="24" l="1"/>
  <c r="P48" i="24"/>
  <c r="F48" i="24" s="1"/>
  <c r="O48" i="24" s="1"/>
  <c r="V48" i="24" s="1"/>
  <c r="T47" i="24"/>
  <c r="K49" i="24"/>
  <c r="Q48" i="24"/>
  <c r="V49" i="15"/>
  <c r="U49" i="15"/>
  <c r="T49" i="15"/>
  <c r="P51" i="15"/>
  <c r="L52" i="15"/>
  <c r="F50" i="15"/>
  <c r="O50" i="15" s="1"/>
  <c r="K52" i="15"/>
  <c r="Q51" i="15"/>
  <c r="R51" i="15"/>
  <c r="M52" i="15"/>
  <c r="U48" i="24"/>
  <c r="R50" i="24"/>
  <c r="K50" i="24" l="1"/>
  <c r="Q49" i="24"/>
  <c r="T48" i="24"/>
  <c r="L50" i="24"/>
  <c r="P49" i="24"/>
  <c r="F49" i="24" s="1"/>
  <c r="O49" i="24" s="1"/>
  <c r="T49" i="24" s="1"/>
  <c r="F51" i="15"/>
  <c r="O51" i="15" s="1"/>
  <c r="K53" i="15"/>
  <c r="Q52" i="15"/>
  <c r="R52" i="15"/>
  <c r="M53" i="15"/>
  <c r="T50" i="15"/>
  <c r="V50" i="15"/>
  <c r="U50" i="15"/>
  <c r="P52" i="15"/>
  <c r="L53" i="15"/>
  <c r="R51" i="24"/>
  <c r="U49" i="24"/>
  <c r="L51" i="24" l="1"/>
  <c r="P50" i="24"/>
  <c r="F50" i="24" s="1"/>
  <c r="O50" i="24" s="1"/>
  <c r="V50" i="24" s="1"/>
  <c r="V49" i="24"/>
  <c r="K51" i="24"/>
  <c r="Q50" i="24"/>
  <c r="P53" i="15"/>
  <c r="L54" i="15"/>
  <c r="K54" i="15"/>
  <c r="Q53" i="15"/>
  <c r="F52" i="15"/>
  <c r="O52" i="15" s="1"/>
  <c r="R53" i="15"/>
  <c r="M54" i="15"/>
  <c r="V51" i="15"/>
  <c r="U51" i="15"/>
  <c r="T51" i="15"/>
  <c r="R52" i="24"/>
  <c r="U50" i="24" l="1"/>
  <c r="K52" i="24"/>
  <c r="Q51" i="24"/>
  <c r="T50" i="24"/>
  <c r="L52" i="24"/>
  <c r="P51" i="24"/>
  <c r="F51" i="24" s="1"/>
  <c r="O51" i="24" s="1"/>
  <c r="U51" i="24" s="1"/>
  <c r="R54" i="15"/>
  <c r="M55" i="15"/>
  <c r="K55" i="15"/>
  <c r="Q54" i="15"/>
  <c r="P54" i="15"/>
  <c r="L55" i="15"/>
  <c r="T52" i="15"/>
  <c r="V52" i="15"/>
  <c r="U52" i="15"/>
  <c r="F53" i="15"/>
  <c r="O53" i="15" s="1"/>
  <c r="R53" i="24"/>
  <c r="V51" i="24" l="1"/>
  <c r="T51" i="24"/>
  <c r="K53" i="24"/>
  <c r="Q52" i="24"/>
  <c r="L53" i="24"/>
  <c r="P52" i="24"/>
  <c r="K56" i="15"/>
  <c r="Q55" i="15"/>
  <c r="R55" i="15"/>
  <c r="M56" i="15"/>
  <c r="V53" i="15"/>
  <c r="U53" i="15"/>
  <c r="T53" i="15"/>
  <c r="P55" i="15"/>
  <c r="F55" i="15" s="1"/>
  <c r="O55" i="15" s="1"/>
  <c r="L56" i="15"/>
  <c r="F54" i="15"/>
  <c r="O54" i="15" s="1"/>
  <c r="R54" i="24"/>
  <c r="K54" i="24" l="1"/>
  <c r="Q53" i="24"/>
  <c r="F52" i="24"/>
  <c r="O52" i="24" s="1"/>
  <c r="L54" i="24"/>
  <c r="P53" i="24"/>
  <c r="F53" i="24" s="1"/>
  <c r="O53" i="24" s="1"/>
  <c r="R56" i="15"/>
  <c r="M57" i="15"/>
  <c r="V55" i="15"/>
  <c r="U55" i="15"/>
  <c r="T55" i="15"/>
  <c r="T54" i="15"/>
  <c r="V54" i="15"/>
  <c r="U54" i="15"/>
  <c r="P56" i="15"/>
  <c r="L57" i="15"/>
  <c r="K57" i="15"/>
  <c r="Q56" i="15"/>
  <c r="V53" i="24"/>
  <c r="U53" i="24"/>
  <c r="T53" i="24"/>
  <c r="R55" i="24"/>
  <c r="L55" i="24" l="1"/>
  <c r="P54" i="24"/>
  <c r="T52" i="24"/>
  <c r="U52" i="24"/>
  <c r="V52" i="24"/>
  <c r="K55" i="24"/>
  <c r="Q54" i="24"/>
  <c r="K58" i="15"/>
  <c r="Q57" i="15"/>
  <c r="R57" i="15"/>
  <c r="M58" i="15"/>
  <c r="P57" i="15"/>
  <c r="L58" i="15"/>
  <c r="F56" i="15"/>
  <c r="O56" i="15" s="1"/>
  <c r="R56" i="24"/>
  <c r="K56" i="24" l="1"/>
  <c r="Q55" i="24"/>
  <c r="F54" i="24"/>
  <c r="O54" i="24" s="1"/>
  <c r="L56" i="24"/>
  <c r="P55" i="24"/>
  <c r="F55" i="24" s="1"/>
  <c r="O55" i="24" s="1"/>
  <c r="V55" i="24" s="1"/>
  <c r="R58" i="15"/>
  <c r="M59" i="15"/>
  <c r="T56" i="15"/>
  <c r="V56" i="15"/>
  <c r="U56" i="15"/>
  <c r="P58" i="15"/>
  <c r="L59" i="15"/>
  <c r="F57" i="15"/>
  <c r="O57" i="15" s="1"/>
  <c r="K59" i="15"/>
  <c r="Q58" i="15"/>
  <c r="R57" i="24"/>
  <c r="U55" i="24"/>
  <c r="T55" i="24"/>
  <c r="L57" i="24" l="1"/>
  <c r="P56" i="24"/>
  <c r="V54" i="24"/>
  <c r="T54" i="24"/>
  <c r="U54" i="24"/>
  <c r="F58" i="15"/>
  <c r="O58" i="15" s="1"/>
  <c r="T58" i="15" s="1"/>
  <c r="K57" i="24"/>
  <c r="Q56" i="24"/>
  <c r="V57" i="15"/>
  <c r="U57" i="15"/>
  <c r="T57" i="15"/>
  <c r="P59" i="15"/>
  <c r="L60" i="15"/>
  <c r="R59" i="15"/>
  <c r="M60" i="15"/>
  <c r="K60" i="15"/>
  <c r="Q59" i="15"/>
  <c r="R58" i="24"/>
  <c r="U58" i="15" l="1"/>
  <c r="K58" i="24"/>
  <c r="Q57" i="24"/>
  <c r="V58" i="15"/>
  <c r="F56" i="24"/>
  <c r="O56" i="24" s="1"/>
  <c r="L58" i="24"/>
  <c r="P57" i="24"/>
  <c r="F57" i="24" s="1"/>
  <c r="O57" i="24" s="1"/>
  <c r="P60" i="15"/>
  <c r="L61" i="15"/>
  <c r="R60" i="15"/>
  <c r="M61" i="15"/>
  <c r="K61" i="15"/>
  <c r="Q60" i="15"/>
  <c r="F59" i="15"/>
  <c r="O59" i="15" s="1"/>
  <c r="R59" i="24"/>
  <c r="U57" i="24"/>
  <c r="T57" i="24"/>
  <c r="V57" i="24"/>
  <c r="L59" i="24" l="1"/>
  <c r="P58" i="24"/>
  <c r="K59" i="24"/>
  <c r="Q58" i="24"/>
  <c r="V56" i="24"/>
  <c r="T56" i="24"/>
  <c r="U56" i="24"/>
  <c r="R61" i="15"/>
  <c r="M62" i="15"/>
  <c r="P61" i="15"/>
  <c r="L62" i="15"/>
  <c r="V59" i="15"/>
  <c r="U59" i="15"/>
  <c r="T59" i="15"/>
  <c r="K62" i="15"/>
  <c r="Q61" i="15"/>
  <c r="F60" i="15"/>
  <c r="O60" i="15" s="1"/>
  <c r="R60" i="24"/>
  <c r="K60" i="24" l="1"/>
  <c r="Q59" i="24"/>
  <c r="F61" i="15"/>
  <c r="O61" i="15" s="1"/>
  <c r="T61" i="15" s="1"/>
  <c r="F58" i="24"/>
  <c r="O58" i="24" s="1"/>
  <c r="L60" i="24"/>
  <c r="P59" i="24"/>
  <c r="F59" i="24" s="1"/>
  <c r="O59" i="24" s="1"/>
  <c r="T59" i="24" s="1"/>
  <c r="V61" i="15"/>
  <c r="U61" i="15"/>
  <c r="R62" i="15"/>
  <c r="M63" i="15"/>
  <c r="K63" i="15"/>
  <c r="Q62" i="15"/>
  <c r="P62" i="15"/>
  <c r="F62" i="15" s="1"/>
  <c r="O62" i="15" s="1"/>
  <c r="L63" i="15"/>
  <c r="T60" i="15"/>
  <c r="V60" i="15"/>
  <c r="U60" i="15"/>
  <c r="V59" i="24"/>
  <c r="U59" i="24"/>
  <c r="R61" i="24"/>
  <c r="V58" i="24" l="1"/>
  <c r="T58" i="24"/>
  <c r="U58" i="24"/>
  <c r="L61" i="24"/>
  <c r="P60" i="24"/>
  <c r="K61" i="24"/>
  <c r="Q60" i="24"/>
  <c r="T62" i="15"/>
  <c r="V62" i="15"/>
  <c r="U62" i="15"/>
  <c r="K64" i="15"/>
  <c r="Q63" i="15"/>
  <c r="P63" i="15"/>
  <c r="L64" i="15"/>
  <c r="R63" i="15"/>
  <c r="M64" i="15"/>
  <c r="R62" i="24"/>
  <c r="L62" i="24" l="1"/>
  <c r="P61" i="24"/>
  <c r="K62" i="24"/>
  <c r="Q61" i="24"/>
  <c r="F60" i="24"/>
  <c r="O60" i="24" s="1"/>
  <c r="F63" i="15"/>
  <c r="O63" i="15" s="1"/>
  <c r="K65" i="15"/>
  <c r="Q64" i="15"/>
  <c r="P64" i="15"/>
  <c r="F64" i="15" s="1"/>
  <c r="O64" i="15" s="1"/>
  <c r="L65" i="15"/>
  <c r="R64" i="15"/>
  <c r="M65" i="15"/>
  <c r="R63" i="24"/>
  <c r="K63" i="24" l="1"/>
  <c r="Q62" i="24"/>
  <c r="F61" i="24"/>
  <c r="O61" i="24" s="1"/>
  <c r="T60" i="24"/>
  <c r="V60" i="24"/>
  <c r="U60" i="24"/>
  <c r="L63" i="24"/>
  <c r="P62" i="24"/>
  <c r="F62" i="24" s="1"/>
  <c r="O62" i="24" s="1"/>
  <c r="T62" i="24" s="1"/>
  <c r="T64" i="15"/>
  <c r="V64" i="15"/>
  <c r="U64" i="15"/>
  <c r="R65" i="15"/>
  <c r="M66" i="15"/>
  <c r="K66" i="15"/>
  <c r="Q65" i="15"/>
  <c r="P65" i="15"/>
  <c r="F65" i="15" s="1"/>
  <c r="O65" i="15" s="1"/>
  <c r="L66" i="15"/>
  <c r="V63" i="15"/>
  <c r="U63" i="15"/>
  <c r="T63" i="15"/>
  <c r="R64" i="24"/>
  <c r="L64" i="24" l="1"/>
  <c r="P63" i="24"/>
  <c r="U61" i="24"/>
  <c r="V61" i="24"/>
  <c r="T61" i="24"/>
  <c r="U62" i="24"/>
  <c r="V62" i="24"/>
  <c r="K64" i="24"/>
  <c r="Q63" i="24"/>
  <c r="V65" i="15"/>
  <c r="U65" i="15"/>
  <c r="T65" i="15"/>
  <c r="K67" i="15"/>
  <c r="Q66" i="15"/>
  <c r="P66" i="15"/>
  <c r="L67" i="15"/>
  <c r="R66" i="15"/>
  <c r="M67" i="15"/>
  <c r="R65" i="24"/>
  <c r="K65" i="24" l="1"/>
  <c r="Q64" i="24"/>
  <c r="F63" i="24"/>
  <c r="O63" i="24" s="1"/>
  <c r="L65" i="24"/>
  <c r="P64" i="24"/>
  <c r="F64" i="24" s="1"/>
  <c r="O64" i="24" s="1"/>
  <c r="U64" i="24" s="1"/>
  <c r="F66" i="15"/>
  <c r="O66" i="15" s="1"/>
  <c r="K68" i="15"/>
  <c r="Q67" i="15"/>
  <c r="P67" i="15"/>
  <c r="F67" i="15" s="1"/>
  <c r="O67" i="15" s="1"/>
  <c r="L68" i="15"/>
  <c r="R67" i="15"/>
  <c r="M68" i="15"/>
  <c r="V64" i="24"/>
  <c r="T64" i="24"/>
  <c r="R66" i="24"/>
  <c r="L66" i="24" l="1"/>
  <c r="P65" i="24"/>
  <c r="V63" i="24"/>
  <c r="U63" i="24"/>
  <c r="T63" i="24"/>
  <c r="K66" i="24"/>
  <c r="Q65" i="24"/>
  <c r="V67" i="15"/>
  <c r="U67" i="15"/>
  <c r="T67" i="15"/>
  <c r="R68" i="15"/>
  <c r="M69" i="15"/>
  <c r="K69" i="15"/>
  <c r="Q68" i="15"/>
  <c r="P68" i="15"/>
  <c r="F68" i="15" s="1"/>
  <c r="O68" i="15" s="1"/>
  <c r="L69" i="15"/>
  <c r="T66" i="15"/>
  <c r="V66" i="15"/>
  <c r="U66" i="15"/>
  <c r="R67" i="24"/>
  <c r="K67" i="24" l="1"/>
  <c r="Q66" i="24"/>
  <c r="F65" i="24"/>
  <c r="O65" i="24" s="1"/>
  <c r="L67" i="24"/>
  <c r="P66" i="24"/>
  <c r="T68" i="15"/>
  <c r="V68" i="15"/>
  <c r="U68" i="15"/>
  <c r="K70" i="15"/>
  <c r="Q69" i="15"/>
  <c r="P69" i="15"/>
  <c r="L70" i="15"/>
  <c r="R69" i="15"/>
  <c r="M70" i="15"/>
  <c r="R68" i="24"/>
  <c r="L68" i="24" l="1"/>
  <c r="P67" i="24"/>
  <c r="V65" i="24"/>
  <c r="T65" i="24"/>
  <c r="U65" i="24"/>
  <c r="F66" i="24"/>
  <c r="O66" i="24" s="1"/>
  <c r="K68" i="24"/>
  <c r="Q67" i="24"/>
  <c r="F69" i="15"/>
  <c r="O69" i="15" s="1"/>
  <c r="K71" i="15"/>
  <c r="Q70" i="15"/>
  <c r="P70" i="15"/>
  <c r="L71" i="15"/>
  <c r="R70" i="15"/>
  <c r="M71" i="15"/>
  <c r="R69" i="24"/>
  <c r="F70" i="15" l="1"/>
  <c r="O70" i="15" s="1"/>
  <c r="V70" i="15" s="1"/>
  <c r="K69" i="24"/>
  <c r="Q68" i="24"/>
  <c r="V66" i="24"/>
  <c r="U66" i="24"/>
  <c r="T66" i="24"/>
  <c r="F67" i="24"/>
  <c r="O67" i="24" s="1"/>
  <c r="L69" i="24"/>
  <c r="P68" i="24"/>
  <c r="F68" i="24" s="1"/>
  <c r="O68" i="24" s="1"/>
  <c r="U68" i="24" s="1"/>
  <c r="U70" i="15"/>
  <c r="T70" i="15"/>
  <c r="R71" i="15"/>
  <c r="M72" i="15"/>
  <c r="K72" i="15"/>
  <c r="Q71" i="15"/>
  <c r="P71" i="15"/>
  <c r="F71" i="15" s="1"/>
  <c r="O71" i="15" s="1"/>
  <c r="L72" i="15"/>
  <c r="T69" i="15"/>
  <c r="V69" i="15"/>
  <c r="U69" i="15"/>
  <c r="V68" i="24"/>
  <c r="T68" i="24"/>
  <c r="R70" i="24"/>
  <c r="L70" i="24" l="1"/>
  <c r="P69" i="24"/>
  <c r="V67" i="24"/>
  <c r="U67" i="24"/>
  <c r="T67" i="24"/>
  <c r="K70" i="24"/>
  <c r="Q69" i="24"/>
  <c r="T71" i="15"/>
  <c r="V71" i="15"/>
  <c r="U71" i="15"/>
  <c r="K73" i="15"/>
  <c r="Q72" i="15"/>
  <c r="P72" i="15"/>
  <c r="L73" i="15"/>
  <c r="R72" i="15"/>
  <c r="M73" i="15"/>
  <c r="R71" i="24"/>
  <c r="K71" i="24" l="1"/>
  <c r="Q70" i="24"/>
  <c r="F69" i="24"/>
  <c r="O69" i="24" s="1"/>
  <c r="L71" i="24"/>
  <c r="P70" i="24"/>
  <c r="F70" i="24" s="1"/>
  <c r="O70" i="24" s="1"/>
  <c r="K74" i="15"/>
  <c r="Q73" i="15"/>
  <c r="F72" i="15"/>
  <c r="O72" i="15" s="1"/>
  <c r="P73" i="15"/>
  <c r="F73" i="15" s="1"/>
  <c r="O73" i="15" s="1"/>
  <c r="L74" i="15"/>
  <c r="R73" i="15"/>
  <c r="M74" i="15"/>
  <c r="R72" i="24"/>
  <c r="T70" i="24"/>
  <c r="V70" i="24"/>
  <c r="U70" i="24"/>
  <c r="L72" i="24" l="1"/>
  <c r="P71" i="24"/>
  <c r="U69" i="24"/>
  <c r="V69" i="24"/>
  <c r="T69" i="24"/>
  <c r="K72" i="24"/>
  <c r="Q71" i="24"/>
  <c r="V72" i="15"/>
  <c r="T72" i="15"/>
  <c r="U72" i="15"/>
  <c r="T73" i="15"/>
  <c r="V73" i="15"/>
  <c r="U73" i="15"/>
  <c r="R74" i="15"/>
  <c r="M75" i="15"/>
  <c r="P74" i="15"/>
  <c r="L75" i="15"/>
  <c r="K75" i="15"/>
  <c r="Q74" i="15"/>
  <c r="R73" i="24"/>
  <c r="K73" i="24" l="1"/>
  <c r="Q72" i="24"/>
  <c r="F71" i="24"/>
  <c r="O71" i="24" s="1"/>
  <c r="L73" i="24"/>
  <c r="P72" i="24"/>
  <c r="F72" i="24" s="1"/>
  <c r="O72" i="24" s="1"/>
  <c r="P75" i="15"/>
  <c r="L76" i="15"/>
  <c r="R75" i="15"/>
  <c r="M76" i="15"/>
  <c r="K76" i="15"/>
  <c r="Q75" i="15"/>
  <c r="F74" i="15"/>
  <c r="O74" i="15" s="1"/>
  <c r="R74" i="24"/>
  <c r="L74" i="24" l="1"/>
  <c r="P73" i="24"/>
  <c r="V71" i="24"/>
  <c r="U71" i="24"/>
  <c r="T71" i="24"/>
  <c r="T72" i="24"/>
  <c r="V72" i="24"/>
  <c r="U72" i="24"/>
  <c r="K74" i="24"/>
  <c r="Q73" i="24"/>
  <c r="R76" i="15"/>
  <c r="M77" i="15"/>
  <c r="P76" i="15"/>
  <c r="L77" i="15"/>
  <c r="V74" i="15"/>
  <c r="T74" i="15"/>
  <c r="U74" i="15"/>
  <c r="K77" i="15"/>
  <c r="Q76" i="15"/>
  <c r="F75" i="15"/>
  <c r="O75" i="15" s="1"/>
  <c r="R75" i="24"/>
  <c r="F73" i="24" l="1"/>
  <c r="O73" i="24" s="1"/>
  <c r="F76" i="15"/>
  <c r="O76" i="15" s="1"/>
  <c r="K75" i="24"/>
  <c r="Q74" i="24"/>
  <c r="L75" i="24"/>
  <c r="P74" i="24"/>
  <c r="K78" i="15"/>
  <c r="Q77" i="15"/>
  <c r="V76" i="15"/>
  <c r="T76" i="15"/>
  <c r="U76" i="15"/>
  <c r="P77" i="15"/>
  <c r="F77" i="15" s="1"/>
  <c r="O77" i="15" s="1"/>
  <c r="L78" i="15"/>
  <c r="T75" i="15"/>
  <c r="V75" i="15"/>
  <c r="U75" i="15"/>
  <c r="R77" i="15"/>
  <c r="M78" i="15"/>
  <c r="R76" i="24"/>
  <c r="K76" i="24" l="1"/>
  <c r="Q75" i="24"/>
  <c r="F74" i="24"/>
  <c r="O74" i="24" s="1"/>
  <c r="L76" i="24"/>
  <c r="P75" i="24"/>
  <c r="T73" i="24"/>
  <c r="V73" i="24"/>
  <c r="U73" i="24"/>
  <c r="T77" i="15"/>
  <c r="V77" i="15"/>
  <c r="U77" i="15"/>
  <c r="R78" i="15"/>
  <c r="M79" i="15"/>
  <c r="P78" i="15"/>
  <c r="L79" i="15"/>
  <c r="K79" i="15"/>
  <c r="Q78" i="15"/>
  <c r="R77" i="24"/>
  <c r="L77" i="24" l="1"/>
  <c r="P76" i="24"/>
  <c r="V74" i="24"/>
  <c r="T74" i="24"/>
  <c r="U74" i="24"/>
  <c r="F75" i="24"/>
  <c r="O75" i="24" s="1"/>
  <c r="K77" i="24"/>
  <c r="Q76" i="24"/>
  <c r="K80" i="15"/>
  <c r="Q79" i="15"/>
  <c r="L80" i="15"/>
  <c r="P79" i="15"/>
  <c r="F78" i="15"/>
  <c r="O78" i="15" s="1"/>
  <c r="R79" i="15"/>
  <c r="M80" i="15"/>
  <c r="R78" i="24"/>
  <c r="F79" i="15" l="1"/>
  <c r="O79" i="15" s="1"/>
  <c r="K78" i="24"/>
  <c r="Q77" i="24"/>
  <c r="V75" i="24"/>
  <c r="U75" i="24"/>
  <c r="T75" i="24"/>
  <c r="F76" i="24"/>
  <c r="O76" i="24" s="1"/>
  <c r="L78" i="24"/>
  <c r="P77" i="24"/>
  <c r="F77" i="24" s="1"/>
  <c r="O77" i="24" s="1"/>
  <c r="V77" i="24" s="1"/>
  <c r="R80" i="15"/>
  <c r="M81" i="15"/>
  <c r="P80" i="15"/>
  <c r="L81" i="15"/>
  <c r="V79" i="15"/>
  <c r="T79" i="15"/>
  <c r="U79" i="15"/>
  <c r="T78" i="15"/>
  <c r="V78" i="15"/>
  <c r="U78" i="15"/>
  <c r="Q80" i="15"/>
  <c r="K81" i="15"/>
  <c r="T77" i="24"/>
  <c r="U77" i="24"/>
  <c r="R79" i="24"/>
  <c r="L79" i="24" l="1"/>
  <c r="P78" i="24"/>
  <c r="T76" i="24"/>
  <c r="V76" i="24"/>
  <c r="U76" i="24"/>
  <c r="K79" i="24"/>
  <c r="Q78" i="24"/>
  <c r="K82" i="15"/>
  <c r="Q81" i="15"/>
  <c r="R81" i="15"/>
  <c r="M82" i="15"/>
  <c r="L82" i="15"/>
  <c r="P81" i="15"/>
  <c r="F80" i="15"/>
  <c r="O80" i="15" s="1"/>
  <c r="R80" i="24"/>
  <c r="K80" i="24" l="1"/>
  <c r="Q79" i="24"/>
  <c r="F78" i="24"/>
  <c r="O78" i="24" s="1"/>
  <c r="F81" i="15"/>
  <c r="O81" i="15" s="1"/>
  <c r="V81" i="15" s="1"/>
  <c r="L80" i="24"/>
  <c r="P79" i="24"/>
  <c r="F79" i="24" s="1"/>
  <c r="O79" i="24" s="1"/>
  <c r="U79" i="24" s="1"/>
  <c r="R82" i="15"/>
  <c r="M83" i="15"/>
  <c r="U81" i="15"/>
  <c r="U80" i="15"/>
  <c r="T80" i="15"/>
  <c r="V80" i="15"/>
  <c r="P82" i="15"/>
  <c r="L83" i="15"/>
  <c r="Q82" i="15"/>
  <c r="K83" i="15"/>
  <c r="V79" i="24"/>
  <c r="R81" i="24"/>
  <c r="T78" i="24" l="1"/>
  <c r="V78" i="24"/>
  <c r="U78" i="24"/>
  <c r="T79" i="24"/>
  <c r="T81" i="15"/>
  <c r="L81" i="24"/>
  <c r="P80" i="24"/>
  <c r="F80" i="24" s="1"/>
  <c r="O80" i="24" s="1"/>
  <c r="U80" i="24" s="1"/>
  <c r="K81" i="24"/>
  <c r="Q80" i="24"/>
  <c r="R83" i="15"/>
  <c r="M84" i="15"/>
  <c r="K84" i="15"/>
  <c r="Q83" i="15"/>
  <c r="L84" i="15"/>
  <c r="P83" i="15"/>
  <c r="F82" i="15"/>
  <c r="O82" i="15" s="1"/>
  <c r="R82" i="24"/>
  <c r="K82" i="24" l="1"/>
  <c r="Q81" i="24"/>
  <c r="V80" i="24"/>
  <c r="T80" i="24"/>
  <c r="L82" i="24"/>
  <c r="P81" i="24"/>
  <c r="F81" i="24" s="1"/>
  <c r="O81" i="24" s="1"/>
  <c r="U81" i="24" s="1"/>
  <c r="Q84" i="15"/>
  <c r="K85" i="15"/>
  <c r="R84" i="15"/>
  <c r="M85" i="15"/>
  <c r="U82" i="15"/>
  <c r="T82" i="15"/>
  <c r="V82" i="15"/>
  <c r="F83" i="15"/>
  <c r="O83" i="15" s="1"/>
  <c r="P84" i="15"/>
  <c r="L85" i="15"/>
  <c r="T81" i="24"/>
  <c r="R83" i="24"/>
  <c r="V81" i="24" l="1"/>
  <c r="L83" i="24"/>
  <c r="P82" i="24"/>
  <c r="F82" i="24" s="1"/>
  <c r="O82" i="24" s="1"/>
  <c r="T82" i="24" s="1"/>
  <c r="K83" i="24"/>
  <c r="Q82" i="24"/>
  <c r="V83" i="15"/>
  <c r="T83" i="15"/>
  <c r="U83" i="15"/>
  <c r="K86" i="15"/>
  <c r="Q85" i="15"/>
  <c r="R85" i="15"/>
  <c r="M86" i="15"/>
  <c r="L86" i="15"/>
  <c r="P85" i="15"/>
  <c r="F84" i="15"/>
  <c r="O84" i="15" s="1"/>
  <c r="R84" i="24"/>
  <c r="U82" i="24" l="1"/>
  <c r="K84" i="24"/>
  <c r="Q83" i="24"/>
  <c r="L84" i="24"/>
  <c r="P83" i="24"/>
  <c r="F83" i="24" s="1"/>
  <c r="O83" i="24" s="1"/>
  <c r="V83" i="24" s="1"/>
  <c r="V82" i="24"/>
  <c r="Q86" i="15"/>
  <c r="K87" i="15"/>
  <c r="R86" i="15"/>
  <c r="M87" i="15"/>
  <c r="P86" i="15"/>
  <c r="L87" i="15"/>
  <c r="U84" i="15"/>
  <c r="T84" i="15"/>
  <c r="V84" i="15"/>
  <c r="F85" i="15"/>
  <c r="O85" i="15" s="1"/>
  <c r="T83" i="24"/>
  <c r="R85" i="24"/>
  <c r="L85" i="24" l="1"/>
  <c r="P84" i="24"/>
  <c r="F84" i="24" s="1"/>
  <c r="O84" i="24" s="1"/>
  <c r="T84" i="24" s="1"/>
  <c r="U83" i="24"/>
  <c r="K85" i="24"/>
  <c r="Q84" i="24"/>
  <c r="R87" i="15"/>
  <c r="M88" i="15"/>
  <c r="L88" i="15"/>
  <c r="P87" i="15"/>
  <c r="K88" i="15"/>
  <c r="Q87" i="15"/>
  <c r="V85" i="15"/>
  <c r="T85" i="15"/>
  <c r="U85" i="15"/>
  <c r="F86" i="15"/>
  <c r="O86" i="15" s="1"/>
  <c r="U84" i="24"/>
  <c r="R86" i="24"/>
  <c r="K86" i="24" l="1"/>
  <c r="Q85" i="24"/>
  <c r="V84" i="24"/>
  <c r="F87" i="15"/>
  <c r="O87" i="15" s="1"/>
  <c r="U87" i="15" s="1"/>
  <c r="L86" i="24"/>
  <c r="P85" i="24"/>
  <c r="F85" i="24" s="1"/>
  <c r="O85" i="24" s="1"/>
  <c r="T85" i="24" s="1"/>
  <c r="P88" i="15"/>
  <c r="L89" i="15"/>
  <c r="U86" i="15"/>
  <c r="T86" i="15"/>
  <c r="V86" i="15"/>
  <c r="R88" i="15"/>
  <c r="M89" i="15"/>
  <c r="Q88" i="15"/>
  <c r="K89" i="15"/>
  <c r="R87" i="24"/>
  <c r="V85" i="24"/>
  <c r="U85" i="24"/>
  <c r="V87" i="15" l="1"/>
  <c r="T87" i="15"/>
  <c r="F88" i="15"/>
  <c r="O88" i="15" s="1"/>
  <c r="T88" i="15" s="1"/>
  <c r="L87" i="24"/>
  <c r="P86" i="24"/>
  <c r="K87" i="24"/>
  <c r="Q86" i="24"/>
  <c r="K90" i="15"/>
  <c r="Q89" i="15"/>
  <c r="R89" i="15"/>
  <c r="M90" i="15"/>
  <c r="U88" i="15"/>
  <c r="L90" i="15"/>
  <c r="P89" i="15"/>
  <c r="R88" i="24"/>
  <c r="L88" i="24" l="1"/>
  <c r="P87" i="24"/>
  <c r="F87" i="24" s="1"/>
  <c r="O87" i="24" s="1"/>
  <c r="V88" i="15"/>
  <c r="K88" i="24"/>
  <c r="Q87" i="24"/>
  <c r="F86" i="24"/>
  <c r="O86" i="24" s="1"/>
  <c r="R90" i="15"/>
  <c r="M91" i="15"/>
  <c r="P90" i="15"/>
  <c r="L91" i="15"/>
  <c r="F89" i="15"/>
  <c r="O89" i="15" s="1"/>
  <c r="Q90" i="15"/>
  <c r="K91" i="15"/>
  <c r="R89" i="24"/>
  <c r="K89" i="24" l="1"/>
  <c r="Q88" i="24"/>
  <c r="V87" i="24"/>
  <c r="U87" i="24"/>
  <c r="T87" i="24"/>
  <c r="U86" i="24"/>
  <c r="T86" i="24"/>
  <c r="V86" i="24"/>
  <c r="F90" i="15"/>
  <c r="O90" i="15" s="1"/>
  <c r="V90" i="15" s="1"/>
  <c r="L89" i="24"/>
  <c r="P88" i="24"/>
  <c r="F88" i="24" s="1"/>
  <c r="O88" i="24" s="1"/>
  <c r="U88" i="24" s="1"/>
  <c r="T90" i="15"/>
  <c r="R91" i="15"/>
  <c r="M92" i="15"/>
  <c r="L92" i="15"/>
  <c r="P91" i="15"/>
  <c r="K92" i="15"/>
  <c r="Q91" i="15"/>
  <c r="V89" i="15"/>
  <c r="T89" i="15"/>
  <c r="U89" i="15"/>
  <c r="T88" i="24"/>
  <c r="R90" i="24"/>
  <c r="U90" i="15" l="1"/>
  <c r="V88" i="24"/>
  <c r="F91" i="15"/>
  <c r="O91" i="15" s="1"/>
  <c r="T91" i="15" s="1"/>
  <c r="L90" i="24"/>
  <c r="P89" i="24"/>
  <c r="K90" i="24"/>
  <c r="Q89" i="24"/>
  <c r="K93" i="15"/>
  <c r="Q92" i="15"/>
  <c r="P92" i="15"/>
  <c r="L93" i="15"/>
  <c r="R92" i="15"/>
  <c r="M93" i="15"/>
  <c r="R91" i="24"/>
  <c r="V91" i="15" l="1"/>
  <c r="L91" i="24"/>
  <c r="P90" i="24"/>
  <c r="F90" i="24" s="1"/>
  <c r="O90" i="24" s="1"/>
  <c r="V90" i="24" s="1"/>
  <c r="U91" i="15"/>
  <c r="K91" i="24"/>
  <c r="Q90" i="24"/>
  <c r="F89" i="24"/>
  <c r="O89" i="24" s="1"/>
  <c r="P93" i="15"/>
  <c r="L94" i="15"/>
  <c r="K94" i="15"/>
  <c r="Q93" i="15"/>
  <c r="F92" i="15"/>
  <c r="O92" i="15" s="1"/>
  <c r="R93" i="15"/>
  <c r="M94" i="15"/>
  <c r="R92" i="24"/>
  <c r="T90" i="24"/>
  <c r="T89" i="24" l="1"/>
  <c r="V89" i="24"/>
  <c r="U89" i="24"/>
  <c r="L92" i="24"/>
  <c r="P91" i="24"/>
  <c r="U90" i="24"/>
  <c r="K92" i="24"/>
  <c r="Q91" i="24"/>
  <c r="R94" i="15"/>
  <c r="M95" i="15"/>
  <c r="K95" i="15"/>
  <c r="Q94" i="15"/>
  <c r="P94" i="15"/>
  <c r="L95" i="15"/>
  <c r="T92" i="15"/>
  <c r="V92" i="15"/>
  <c r="U92" i="15"/>
  <c r="F93" i="15"/>
  <c r="O93" i="15" s="1"/>
  <c r="R93" i="24"/>
  <c r="L93" i="24" l="1"/>
  <c r="P92" i="24"/>
  <c r="F92" i="24" s="1"/>
  <c r="O92" i="24" s="1"/>
  <c r="T92" i="24" s="1"/>
  <c r="K93" i="24"/>
  <c r="Q92" i="24"/>
  <c r="F91" i="24"/>
  <c r="O91" i="24" s="1"/>
  <c r="V93" i="15"/>
  <c r="T93" i="15"/>
  <c r="U93" i="15"/>
  <c r="P95" i="15"/>
  <c r="L96" i="15"/>
  <c r="R95" i="15"/>
  <c r="M96" i="15"/>
  <c r="K96" i="15"/>
  <c r="Q95" i="15"/>
  <c r="F94" i="15"/>
  <c r="O94" i="15" s="1"/>
  <c r="R94" i="24"/>
  <c r="V92" i="24" l="1"/>
  <c r="K94" i="24"/>
  <c r="Q93" i="24"/>
  <c r="U92" i="24"/>
  <c r="F95" i="15"/>
  <c r="O95" i="15" s="1"/>
  <c r="V95" i="15" s="1"/>
  <c r="V91" i="24"/>
  <c r="U91" i="24"/>
  <c r="T91" i="24"/>
  <c r="L94" i="24"/>
  <c r="P93" i="24"/>
  <c r="F93" i="24" s="1"/>
  <c r="O93" i="24" s="1"/>
  <c r="T95" i="15"/>
  <c r="U95" i="15"/>
  <c r="R96" i="15"/>
  <c r="M97" i="15"/>
  <c r="K97" i="15"/>
  <c r="Q96" i="15"/>
  <c r="T94" i="15"/>
  <c r="V94" i="15"/>
  <c r="U94" i="15"/>
  <c r="P96" i="15"/>
  <c r="F96" i="15" s="1"/>
  <c r="O96" i="15" s="1"/>
  <c r="L97" i="15"/>
  <c r="R95" i="24"/>
  <c r="V93" i="24"/>
  <c r="T93" i="24"/>
  <c r="U93" i="24"/>
  <c r="K95" i="24" l="1"/>
  <c r="Q94" i="24"/>
  <c r="L95" i="24"/>
  <c r="P94" i="24"/>
  <c r="F94" i="24" s="1"/>
  <c r="O94" i="24" s="1"/>
  <c r="T94" i="24" s="1"/>
  <c r="P97" i="15"/>
  <c r="L98" i="15"/>
  <c r="K98" i="15"/>
  <c r="Q97" i="15"/>
  <c r="T96" i="15"/>
  <c r="V96" i="15"/>
  <c r="U96" i="15"/>
  <c r="R97" i="15"/>
  <c r="M98" i="15"/>
  <c r="R96" i="24"/>
  <c r="U94" i="24" l="1"/>
  <c r="L96" i="24"/>
  <c r="P95" i="24"/>
  <c r="F95" i="24" s="1"/>
  <c r="O95" i="24" s="1"/>
  <c r="V94" i="24"/>
  <c r="K96" i="24"/>
  <c r="Q95" i="24"/>
  <c r="K99" i="15"/>
  <c r="Q98" i="15"/>
  <c r="P98" i="15"/>
  <c r="L99" i="15"/>
  <c r="R98" i="15"/>
  <c r="M99" i="15"/>
  <c r="F97" i="15"/>
  <c r="O97" i="15" s="1"/>
  <c r="R97" i="24"/>
  <c r="U95" i="24" l="1"/>
  <c r="T95" i="24"/>
  <c r="V95" i="24"/>
  <c r="L97" i="24"/>
  <c r="P96" i="24"/>
  <c r="F98" i="15"/>
  <c r="O98" i="15" s="1"/>
  <c r="V98" i="15" s="1"/>
  <c r="K97" i="24"/>
  <c r="Q96" i="24"/>
  <c r="V97" i="15"/>
  <c r="T97" i="15"/>
  <c r="U97" i="15"/>
  <c r="P99" i="15"/>
  <c r="L100" i="15"/>
  <c r="T98" i="15"/>
  <c r="U98" i="15"/>
  <c r="R99" i="15"/>
  <c r="M100" i="15"/>
  <c r="K100" i="15"/>
  <c r="Q99" i="15"/>
  <c r="R98" i="24"/>
  <c r="L98" i="24" l="1"/>
  <c r="P97" i="24"/>
  <c r="F97" i="24" s="1"/>
  <c r="O97" i="24" s="1"/>
  <c r="K98" i="24"/>
  <c r="Q97" i="24"/>
  <c r="F96" i="24"/>
  <c r="O96" i="24" s="1"/>
  <c r="R100" i="15"/>
  <c r="M101" i="15"/>
  <c r="F99" i="15"/>
  <c r="O99" i="15" s="1"/>
  <c r="K101" i="15"/>
  <c r="Q100" i="15"/>
  <c r="P100" i="15"/>
  <c r="F100" i="15" s="1"/>
  <c r="O100" i="15" s="1"/>
  <c r="L101" i="15"/>
  <c r="R99" i="24"/>
  <c r="K99" i="24" l="1"/>
  <c r="Q98" i="24"/>
  <c r="V97" i="24"/>
  <c r="U97" i="24"/>
  <c r="T97" i="24"/>
  <c r="T96" i="24"/>
  <c r="V96" i="24"/>
  <c r="U96" i="24"/>
  <c r="L99" i="24"/>
  <c r="P98" i="24"/>
  <c r="F98" i="24" s="1"/>
  <c r="O98" i="24" s="1"/>
  <c r="V98" i="24" s="1"/>
  <c r="K102" i="15"/>
  <c r="Q101" i="15"/>
  <c r="P101" i="15"/>
  <c r="L102" i="15"/>
  <c r="V99" i="15"/>
  <c r="T99" i="15"/>
  <c r="U99" i="15"/>
  <c r="T100" i="15"/>
  <c r="V100" i="15"/>
  <c r="U100" i="15"/>
  <c r="R101" i="15"/>
  <c r="M102" i="15"/>
  <c r="R100" i="24"/>
  <c r="T98" i="24" l="1"/>
  <c r="U98" i="24"/>
  <c r="L100" i="24"/>
  <c r="P99" i="24"/>
  <c r="F99" i="24" s="1"/>
  <c r="O99" i="24" s="1"/>
  <c r="T99" i="24" s="1"/>
  <c r="K100" i="24"/>
  <c r="Q99" i="24"/>
  <c r="R102" i="15"/>
  <c r="M103" i="15"/>
  <c r="P102" i="15"/>
  <c r="L103" i="15"/>
  <c r="F101" i="15"/>
  <c r="O101" i="15" s="1"/>
  <c r="K103" i="15"/>
  <c r="Q102" i="15"/>
  <c r="R101" i="24"/>
  <c r="L101" i="24" l="1"/>
  <c r="P100" i="24"/>
  <c r="V99" i="24"/>
  <c r="U99" i="24"/>
  <c r="F102" i="15"/>
  <c r="O102" i="15" s="1"/>
  <c r="U102" i="15" s="1"/>
  <c r="K101" i="24"/>
  <c r="Q100" i="24"/>
  <c r="T102" i="15"/>
  <c r="V102" i="15"/>
  <c r="P103" i="15"/>
  <c r="F103" i="15" s="1"/>
  <c r="O103" i="15" s="1"/>
  <c r="L104" i="15"/>
  <c r="K104" i="15"/>
  <c r="Q103" i="15"/>
  <c r="R103" i="15"/>
  <c r="M104" i="15"/>
  <c r="V101" i="15"/>
  <c r="T101" i="15"/>
  <c r="U101" i="15"/>
  <c r="R102" i="24"/>
  <c r="K102" i="24" l="1"/>
  <c r="Q101" i="24"/>
  <c r="F100" i="24"/>
  <c r="O100" i="24" s="1"/>
  <c r="L102" i="24"/>
  <c r="P101" i="24"/>
  <c r="V103" i="15"/>
  <c r="T103" i="15"/>
  <c r="U103" i="15"/>
  <c r="K105" i="15"/>
  <c r="Q104" i="15"/>
  <c r="R104" i="15"/>
  <c r="M105" i="15"/>
  <c r="P104" i="15"/>
  <c r="L105" i="15"/>
  <c r="R103" i="24"/>
  <c r="U100" i="24" l="1"/>
  <c r="V100" i="24"/>
  <c r="T100" i="24"/>
  <c r="L103" i="24"/>
  <c r="P102" i="24"/>
  <c r="F104" i="15"/>
  <c r="O104" i="15" s="1"/>
  <c r="T104" i="15" s="1"/>
  <c r="F101" i="24"/>
  <c r="O101" i="24" s="1"/>
  <c r="K103" i="24"/>
  <c r="Q102" i="24"/>
  <c r="V104" i="15"/>
  <c r="U104" i="15"/>
  <c r="K106" i="15"/>
  <c r="Q105" i="15"/>
  <c r="R105" i="15"/>
  <c r="M106" i="15"/>
  <c r="P105" i="15"/>
  <c r="L106" i="15"/>
  <c r="R104" i="24"/>
  <c r="K104" i="24" l="1"/>
  <c r="Q103" i="24"/>
  <c r="L104" i="24"/>
  <c r="P103" i="24"/>
  <c r="F103" i="24" s="1"/>
  <c r="O103" i="24" s="1"/>
  <c r="T103" i="24" s="1"/>
  <c r="T101" i="24"/>
  <c r="U101" i="24"/>
  <c r="V101" i="24"/>
  <c r="F105" i="15"/>
  <c r="O105" i="15" s="1"/>
  <c r="V105" i="15" s="1"/>
  <c r="F102" i="24"/>
  <c r="O102" i="24" s="1"/>
  <c r="R106" i="15"/>
  <c r="M107" i="15"/>
  <c r="K107" i="15"/>
  <c r="Q106" i="15"/>
  <c r="P106" i="15"/>
  <c r="F106" i="15" s="1"/>
  <c r="O106" i="15" s="1"/>
  <c r="L107" i="15"/>
  <c r="R105" i="24"/>
  <c r="U103" i="24"/>
  <c r="U105" i="15" l="1"/>
  <c r="V103" i="24"/>
  <c r="T105" i="15"/>
  <c r="L105" i="24"/>
  <c r="P104" i="24"/>
  <c r="T102" i="24"/>
  <c r="V102" i="24"/>
  <c r="U102" i="24"/>
  <c r="K105" i="24"/>
  <c r="Q104" i="24"/>
  <c r="R107" i="15"/>
  <c r="M108" i="15"/>
  <c r="T106" i="15"/>
  <c r="V106" i="15"/>
  <c r="U106" i="15"/>
  <c r="K108" i="15"/>
  <c r="Q107" i="15"/>
  <c r="P107" i="15"/>
  <c r="F107" i="15" s="1"/>
  <c r="O107" i="15" s="1"/>
  <c r="L108" i="15"/>
  <c r="R106" i="24"/>
  <c r="L106" i="24" l="1"/>
  <c r="P105" i="24"/>
  <c r="K106" i="24"/>
  <c r="Q105" i="24"/>
  <c r="F104" i="24"/>
  <c r="O104" i="24" s="1"/>
  <c r="R108" i="15"/>
  <c r="M109" i="15"/>
  <c r="V107" i="15"/>
  <c r="T107" i="15"/>
  <c r="U107" i="15"/>
  <c r="K109" i="15"/>
  <c r="Q108" i="15"/>
  <c r="P108" i="15"/>
  <c r="F108" i="15" s="1"/>
  <c r="O108" i="15" s="1"/>
  <c r="L109" i="15"/>
  <c r="R107" i="24"/>
  <c r="K107" i="24" l="1"/>
  <c r="Q106" i="24"/>
  <c r="F105" i="24"/>
  <c r="O105" i="24" s="1"/>
  <c r="V104" i="24"/>
  <c r="U104" i="24"/>
  <c r="T104" i="24"/>
  <c r="L107" i="24"/>
  <c r="P106" i="24"/>
  <c r="F106" i="24" s="1"/>
  <c r="O106" i="24" s="1"/>
  <c r="U106" i="24" s="1"/>
  <c r="K110" i="15"/>
  <c r="Q109" i="15"/>
  <c r="R109" i="15"/>
  <c r="M110" i="15"/>
  <c r="T108" i="15"/>
  <c r="V108" i="15"/>
  <c r="U108" i="15"/>
  <c r="P109" i="15"/>
  <c r="F109" i="15" s="1"/>
  <c r="O109" i="15" s="1"/>
  <c r="L110" i="15"/>
  <c r="R108" i="24"/>
  <c r="V105" i="24" l="1"/>
  <c r="U105" i="24"/>
  <c r="T105" i="24"/>
  <c r="V106" i="24"/>
  <c r="T106" i="24"/>
  <c r="L108" i="24"/>
  <c r="P107" i="24"/>
  <c r="F107" i="24" s="1"/>
  <c r="O107" i="24" s="1"/>
  <c r="V107" i="24" s="1"/>
  <c r="K108" i="24"/>
  <c r="Q107" i="24"/>
  <c r="R110" i="15"/>
  <c r="M111" i="15"/>
  <c r="V109" i="15"/>
  <c r="T109" i="15"/>
  <c r="U109" i="15"/>
  <c r="P110" i="15"/>
  <c r="F110" i="15" s="1"/>
  <c r="O110" i="15" s="1"/>
  <c r="L111" i="15"/>
  <c r="K111" i="15"/>
  <c r="Q110" i="15"/>
  <c r="R109" i="24"/>
  <c r="T107" i="24" l="1"/>
  <c r="K109" i="24"/>
  <c r="Q108" i="24"/>
  <c r="U107" i="24"/>
  <c r="L109" i="24"/>
  <c r="P108" i="24"/>
  <c r="K112" i="15"/>
  <c r="Q111" i="15"/>
  <c r="P111" i="15"/>
  <c r="L112" i="15"/>
  <c r="T110" i="15"/>
  <c r="V110" i="15"/>
  <c r="U110" i="15"/>
  <c r="R111" i="15"/>
  <c r="M112" i="15"/>
  <c r="R110" i="24"/>
  <c r="F108" i="24" l="1"/>
  <c r="O108" i="24" s="1"/>
  <c r="K110" i="24"/>
  <c r="Q109" i="24"/>
  <c r="L110" i="24"/>
  <c r="P109" i="24"/>
  <c r="F109" i="24" s="1"/>
  <c r="O109" i="24" s="1"/>
  <c r="U109" i="24" s="1"/>
  <c r="P112" i="15"/>
  <c r="L113" i="15"/>
  <c r="F111" i="15"/>
  <c r="O111" i="15" s="1"/>
  <c r="R112" i="15"/>
  <c r="M113" i="15"/>
  <c r="K113" i="15"/>
  <c r="Q112" i="15"/>
  <c r="R111" i="24"/>
  <c r="L111" i="24" l="1"/>
  <c r="P110" i="24"/>
  <c r="V109" i="24"/>
  <c r="T109" i="24"/>
  <c r="K111" i="24"/>
  <c r="Q110" i="24"/>
  <c r="V108" i="24"/>
  <c r="U108" i="24"/>
  <c r="T108" i="24"/>
  <c r="V111" i="15"/>
  <c r="T111" i="15"/>
  <c r="U111" i="15"/>
  <c r="Q113" i="15"/>
  <c r="Q3" i="15" s="1"/>
  <c r="K114" i="15"/>
  <c r="L114" i="15"/>
  <c r="P113" i="15"/>
  <c r="R113" i="15"/>
  <c r="R3" i="15" s="1"/>
  <c r="M114" i="15"/>
  <c r="F112" i="15"/>
  <c r="O112" i="15" s="1"/>
  <c r="R112" i="24"/>
  <c r="F110" i="24" l="1"/>
  <c r="O110" i="24" s="1"/>
  <c r="K112" i="24"/>
  <c r="Q111" i="24"/>
  <c r="L112" i="24"/>
  <c r="P111" i="24"/>
  <c r="F111" i="24" s="1"/>
  <c r="O111" i="24" s="1"/>
  <c r="F113" i="15"/>
  <c r="O113" i="15" s="1"/>
  <c r="P3" i="15"/>
  <c r="L115" i="15"/>
  <c r="P115" i="15" s="1"/>
  <c r="P114" i="15"/>
  <c r="O114" i="15" s="1"/>
  <c r="T112" i="15"/>
  <c r="V112" i="15"/>
  <c r="U112" i="15"/>
  <c r="R114" i="15"/>
  <c r="M115" i="15"/>
  <c r="R115" i="15" s="1"/>
  <c r="Q114" i="15"/>
  <c r="K115" i="15"/>
  <c r="Q115" i="15" s="1"/>
  <c r="T111" i="24"/>
  <c r="V111" i="24"/>
  <c r="U111" i="24"/>
  <c r="R113" i="24"/>
  <c r="R3" i="24" s="1"/>
  <c r="L113" i="24" l="1"/>
  <c r="P112" i="24"/>
  <c r="K113" i="24"/>
  <c r="Q112" i="24"/>
  <c r="U110" i="24"/>
  <c r="T110" i="24"/>
  <c r="V110" i="24"/>
  <c r="O115" i="15"/>
  <c r="V114" i="15"/>
  <c r="U114" i="15"/>
  <c r="T114" i="15"/>
  <c r="V113" i="15"/>
  <c r="U113" i="15"/>
  <c r="T113" i="15"/>
  <c r="R114" i="24"/>
  <c r="R115" i="24"/>
  <c r="K114" i="24" l="1"/>
  <c r="Q113" i="24"/>
  <c r="Q3" i="24" s="1"/>
  <c r="F112" i="24"/>
  <c r="O112" i="24" s="1"/>
  <c r="L114" i="24"/>
  <c r="P113" i="24"/>
  <c r="V115" i="15"/>
  <c r="U115" i="15"/>
  <c r="T115" i="15"/>
  <c r="O115" i="24"/>
  <c r="O114" i="24"/>
  <c r="L115" i="24" l="1"/>
  <c r="P115" i="24" s="1"/>
  <c r="P114" i="24"/>
  <c r="T112" i="24"/>
  <c r="U112" i="24"/>
  <c r="V112" i="24"/>
  <c r="P3" i="24"/>
  <c r="F113" i="24"/>
  <c r="O113" i="24" s="1"/>
  <c r="K115" i="24"/>
  <c r="Q115" i="24" s="1"/>
  <c r="Q114" i="24"/>
  <c r="T114" i="24"/>
  <c r="V114" i="24"/>
  <c r="U114" i="24"/>
  <c r="V115" i="24"/>
  <c r="U115" i="24"/>
  <c r="T115" i="24"/>
  <c r="V113" i="24" l="1"/>
  <c r="U113" i="24"/>
  <c r="T113" i="24"/>
</calcChain>
</file>

<file path=xl/sharedStrings.xml><?xml version="1.0" encoding="utf-8"?>
<sst xmlns="http://schemas.openxmlformats.org/spreadsheetml/2006/main" count="70" uniqueCount="46">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</sst>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5" fillId="0" borderId="0" xfId="0" applyFont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5073953977604851E-2"/>
          <c:y val="9.9818372703412067E-2"/>
          <c:w val="0.91763076727366877"/>
          <c:h val="0.71959595959595968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Lit>
              <c:formatCode>General</c:formatCode>
              <c:ptCount val="109"/>
              <c:pt idx="0">
                <c:v>43714</c:v>
              </c:pt>
              <c:pt idx="1">
                <c:v>43721</c:v>
              </c:pt>
              <c:pt idx="2">
                <c:v>43728</c:v>
              </c:pt>
              <c:pt idx="3">
                <c:v>43735</c:v>
              </c:pt>
              <c:pt idx="4">
                <c:v>43742</c:v>
              </c:pt>
              <c:pt idx="5">
                <c:v>43749</c:v>
              </c:pt>
              <c:pt idx="6">
                <c:v>43756</c:v>
              </c:pt>
              <c:pt idx="7">
                <c:v>43763</c:v>
              </c:pt>
              <c:pt idx="8">
                <c:v>43770</c:v>
              </c:pt>
              <c:pt idx="9">
                <c:v>43777</c:v>
              </c:pt>
              <c:pt idx="10">
                <c:v>43784</c:v>
              </c:pt>
              <c:pt idx="11">
                <c:v>43791</c:v>
              </c:pt>
              <c:pt idx="12">
                <c:v>43798</c:v>
              </c:pt>
              <c:pt idx="13">
                <c:v>43805</c:v>
              </c:pt>
              <c:pt idx="14">
                <c:v>43812</c:v>
              </c:pt>
              <c:pt idx="15">
                <c:v>43819</c:v>
              </c:pt>
              <c:pt idx="16">
                <c:v>43826</c:v>
              </c:pt>
              <c:pt idx="17">
                <c:v>43833</c:v>
              </c:pt>
              <c:pt idx="18">
                <c:v>43840</c:v>
              </c:pt>
              <c:pt idx="19">
                <c:v>43847</c:v>
              </c:pt>
              <c:pt idx="20">
                <c:v>43854</c:v>
              </c:pt>
              <c:pt idx="21">
                <c:v>43861</c:v>
              </c:pt>
              <c:pt idx="22">
                <c:v>43868</c:v>
              </c:pt>
              <c:pt idx="23">
                <c:v>43875</c:v>
              </c:pt>
              <c:pt idx="24">
                <c:v>43882</c:v>
              </c:pt>
              <c:pt idx="25">
                <c:v>43889</c:v>
              </c:pt>
              <c:pt idx="26">
                <c:v>43896</c:v>
              </c:pt>
              <c:pt idx="27">
                <c:v>43903</c:v>
              </c:pt>
              <c:pt idx="28">
                <c:v>43910</c:v>
              </c:pt>
              <c:pt idx="29">
                <c:v>43917</c:v>
              </c:pt>
              <c:pt idx="30">
                <c:v>43924</c:v>
              </c:pt>
              <c:pt idx="31">
                <c:v>43931</c:v>
              </c:pt>
              <c:pt idx="32">
                <c:v>43938</c:v>
              </c:pt>
              <c:pt idx="33">
                <c:v>43945</c:v>
              </c:pt>
              <c:pt idx="34">
                <c:v>43952</c:v>
              </c:pt>
              <c:pt idx="35">
                <c:v>43959</c:v>
              </c:pt>
              <c:pt idx="36">
                <c:v>43966</c:v>
              </c:pt>
              <c:pt idx="37">
                <c:v>43973</c:v>
              </c:pt>
              <c:pt idx="38">
                <c:v>43980</c:v>
              </c:pt>
              <c:pt idx="39">
                <c:v>43987</c:v>
              </c:pt>
              <c:pt idx="40">
                <c:v>43994</c:v>
              </c:pt>
              <c:pt idx="41">
                <c:v>44001</c:v>
              </c:pt>
              <c:pt idx="42">
                <c:v>44008</c:v>
              </c:pt>
              <c:pt idx="43">
                <c:v>44015</c:v>
              </c:pt>
              <c:pt idx="44">
                <c:v>44022</c:v>
              </c:pt>
              <c:pt idx="45">
                <c:v>44029</c:v>
              </c:pt>
              <c:pt idx="46">
                <c:v>44036</c:v>
              </c:pt>
              <c:pt idx="47">
                <c:v>44043</c:v>
              </c:pt>
              <c:pt idx="48">
                <c:v>44050</c:v>
              </c:pt>
              <c:pt idx="49">
                <c:v>44057</c:v>
              </c:pt>
              <c:pt idx="50">
                <c:v>44064</c:v>
              </c:pt>
              <c:pt idx="51">
                <c:v>44071</c:v>
              </c:pt>
              <c:pt idx="52">
                <c:v>44078</c:v>
              </c:pt>
              <c:pt idx="53">
                <c:v>44085</c:v>
              </c:pt>
              <c:pt idx="54">
                <c:v>44092</c:v>
              </c:pt>
              <c:pt idx="55">
                <c:v>44099</c:v>
              </c:pt>
              <c:pt idx="56">
                <c:v>44106</c:v>
              </c:pt>
              <c:pt idx="57">
                <c:v>44113</c:v>
              </c:pt>
              <c:pt idx="58">
                <c:v>44120</c:v>
              </c:pt>
              <c:pt idx="59">
                <c:v>44127</c:v>
              </c:pt>
              <c:pt idx="60">
                <c:v>44134</c:v>
              </c:pt>
              <c:pt idx="61">
                <c:v>44141</c:v>
              </c:pt>
              <c:pt idx="62">
                <c:v>44148</c:v>
              </c:pt>
              <c:pt idx="63">
                <c:v>44155</c:v>
              </c:pt>
              <c:pt idx="64">
                <c:v>44162</c:v>
              </c:pt>
              <c:pt idx="65">
                <c:v>44169</c:v>
              </c:pt>
              <c:pt idx="66">
                <c:v>44176</c:v>
              </c:pt>
              <c:pt idx="67">
                <c:v>44183</c:v>
              </c:pt>
              <c:pt idx="68">
                <c:v>44190</c:v>
              </c:pt>
              <c:pt idx="69">
                <c:v>44197</c:v>
              </c:pt>
              <c:pt idx="70">
                <c:v>44204</c:v>
              </c:pt>
              <c:pt idx="71">
                <c:v>44211</c:v>
              </c:pt>
              <c:pt idx="72">
                <c:v>44218</c:v>
              </c:pt>
              <c:pt idx="73">
                <c:v>44225</c:v>
              </c:pt>
              <c:pt idx="74">
                <c:v>44232</c:v>
              </c:pt>
              <c:pt idx="75">
                <c:v>44239</c:v>
              </c:pt>
              <c:pt idx="76">
                <c:v>44246</c:v>
              </c:pt>
              <c:pt idx="77">
                <c:v>44253</c:v>
              </c:pt>
              <c:pt idx="78">
                <c:v>44260</c:v>
              </c:pt>
              <c:pt idx="79">
                <c:v>44267</c:v>
              </c:pt>
              <c:pt idx="80">
                <c:v>44274</c:v>
              </c:pt>
              <c:pt idx="81">
                <c:v>44281</c:v>
              </c:pt>
              <c:pt idx="82">
                <c:v>44288</c:v>
              </c:pt>
              <c:pt idx="83">
                <c:v>44295</c:v>
              </c:pt>
              <c:pt idx="84">
                <c:v>44302</c:v>
              </c:pt>
              <c:pt idx="85">
                <c:v>44309</c:v>
              </c:pt>
              <c:pt idx="86">
                <c:v>44316</c:v>
              </c:pt>
              <c:pt idx="87">
                <c:v>44323</c:v>
              </c:pt>
              <c:pt idx="88">
                <c:v>44330</c:v>
              </c:pt>
              <c:pt idx="89">
                <c:v>44337</c:v>
              </c:pt>
              <c:pt idx="90">
                <c:v>44344</c:v>
              </c:pt>
              <c:pt idx="91">
                <c:v>44351</c:v>
              </c:pt>
              <c:pt idx="92">
                <c:v>44358</c:v>
              </c:pt>
              <c:pt idx="93">
                <c:v>44365</c:v>
              </c:pt>
              <c:pt idx="94">
                <c:v>44372</c:v>
              </c:pt>
              <c:pt idx="95">
                <c:v>44379</c:v>
              </c:pt>
              <c:pt idx="96">
                <c:v>44386</c:v>
              </c:pt>
              <c:pt idx="97">
                <c:v>44393</c:v>
              </c:pt>
              <c:pt idx="98">
                <c:v>44400</c:v>
              </c:pt>
              <c:pt idx="99">
                <c:v>44407</c:v>
              </c:pt>
              <c:pt idx="100">
                <c:v>44414</c:v>
              </c:pt>
              <c:pt idx="101">
                <c:v>44421</c:v>
              </c:pt>
              <c:pt idx="102">
                <c:v>44428</c:v>
              </c:pt>
              <c:pt idx="103">
                <c:v>44435</c:v>
              </c:pt>
              <c:pt idx="104">
                <c:v>44442</c:v>
              </c:pt>
              <c:pt idx="105">
                <c:v>44449</c:v>
              </c:pt>
              <c:pt idx="106">
                <c:v>44456</c:v>
              </c:pt>
              <c:pt idx="107">
                <c:v>44463</c:v>
              </c:pt>
              <c:pt idx="108">
                <c:v>44470</c:v>
              </c:pt>
            </c:numLit>
          </c:cat>
          <c:val>
            <c:numRef>
              <c:f>'Weekly Throughput'!$O$5:$O$113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4E47A1-E390-456C-A2C6-C9BD01EFB5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D31EE2-0043-4184-A042-F3DBE5C9FA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F5991E-6173-4025-A4F8-F575558736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A60ED6-6E6C-4EA6-A7D3-B315B8F907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B155D5-511B-46BE-87EE-48EAB412C2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651646-629E-402A-95B2-0C891604D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6A6FFE-0CD4-4FEF-A9B8-7737D426DD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73B6C3-D795-4B3B-9628-92CC4335F7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04CA1D-3326-4308-B765-DE7DE4F6A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0120A5-176B-49EA-AE20-787FFCE18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137C4F-AF6C-4051-B761-3DFE2CCFA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8DBD4C-EEC8-4023-96F2-0D8A21DFD0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8EB9874-4EA9-4CE7-8A9C-F88623AC71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D82C20-3640-4C1A-AA55-5AD6A98E6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93C0E4-4F81-4BA5-A5AC-4EEB88EAA0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63032A-A598-4460-B39D-4D79847B10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4EEB8D-BD08-4859-951C-C06E894C7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04D47F-642C-4F55-BBDC-616F430FEC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1A4171-94CC-41DB-B088-DBBD75C4A2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B9FA21-02A9-407D-9A74-6CADF107F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3F5176-AEEA-4985-8A91-035845436A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DBEA825-1052-4713-8B6C-9D89EF846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28F7F0-1268-4E83-BB6E-3BA53633C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122832-E897-43FA-BD18-9DE70EFB72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AE819A-6689-4799-B000-4023E44B15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D71E89-65E0-4AE3-9CE9-F34D2545CC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8443E3-A46C-4C7A-BB1C-F839975933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28D7AA-AA84-47CA-8697-2FA342A0DA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9DFA33-7C62-4B57-8580-627C66239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0DD3E8-B26F-47AC-BF6C-18F56DABB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CE4933-9422-4EDF-8C9F-2A6F5EC08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9AD428-C474-4CA0-980D-6DFA3E4C43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E278A5-773C-446D-B5C7-6D5F3857D8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FB4B33-6639-4535-BBDA-C65FC6C2A7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74BDC3-2513-42BE-8C2A-E55842B990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287CD9-5799-46E2-A6E0-68A1AED929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566E42-8320-407F-AC52-FFC4809B65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5D878C-0A45-47B7-8967-CD210899C1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35AA50-14FF-4CBF-A15B-0937DAA85A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71C98A-F7E3-42B8-9948-852A5D3C26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8A0FC2-45DF-4571-820E-699690997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E3BAA3-7CF7-4F11-8E81-91E5921483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A30EF3-A165-49D4-8E61-2ED29CFC59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CC2314-257A-4EE9-ADCD-D99DEDC7DC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A8473A-CB20-4712-AAF6-2E878AB84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052093-6CE0-4F93-8040-475323AF8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03C590-F278-4A70-8E57-D35BB9571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BE070C-52F3-4101-92D4-9FF294E43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64F8F3-179C-453F-BEE2-D39839B8E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E9B792-E62B-4797-A922-491A97C698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9012CC-6EC7-471A-8D63-F974937E7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47111D-B89A-447F-BDD5-EC11BB04A1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C22301-B10B-4F05-97E7-1608A3AC4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791155-B4F7-4627-92A4-82AEEBF26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C6E9AC-399C-4AEA-B6C8-612F1FF12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A15BF3-7DCA-4891-AAD5-FA607C668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8A7471-83E7-4207-AD5A-B30457434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ABA56B-DBBB-49CB-9141-C82910E4A3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6D27DB-1BB0-46CB-AA54-CAC7B34AF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CD7DD8-83FC-49CC-AE1D-440D477748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F690E0C-4AE7-486F-A4CE-DAFA6A3BD6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32B0CE-085C-495B-AED8-B9B840E5E7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8CBB37-5791-42DE-8ECE-4B31569A6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CE3DF6-3348-4778-A794-D081A4DA4A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48B8CD-8A3C-4080-BF19-5943EC34AE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8C9849-4ECF-4A19-9688-D540423706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4643D3-1792-41D6-A58E-7917CB10C8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281DAA-E0CA-49CD-9A2A-A35C6584C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15B466-D702-440F-B160-829C04C269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B1ABA0-AB6E-488A-918F-12DD59DC52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D39AF4-B84E-451F-A419-1CC942EF98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557520-1C04-4CA3-8F66-977B5D05F0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0A1E54-511D-4B8A-B8FE-280669744B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EFF2A8-3422-4E0C-8A15-CE105D6B6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D87E08-9BC9-4696-A946-A87A6E6B9F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DB6767-56C3-41A3-B8A4-E17A23432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8B6FB5-4191-4947-B6A7-C59D7425F4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88EBB0-1DCA-4E8E-9FB0-5E715B6865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524AAD-7692-4D6F-BF22-4FE59D187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E9492C-3D66-40E5-B362-FACC228ECF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D58A17-DEFE-4416-8B3F-B2179BD31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BF3DB7-AC51-45E3-976C-40C7F52F8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753FD0-C742-4EDD-A581-615E9939A2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AD100B-0EA9-4599-9E51-E9C1D43BDB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E425A3-4B37-402D-B522-D2AC6AEA31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6C8777-A355-4D00-9B3C-781F657AB3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AADE94-DBD8-40F3-982F-BDC24281F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AD15C5-FA5A-4858-BDD7-B34C5A992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6E6A2D-3B6E-4184-8DE4-AA5142FCA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BCFD8A-B9C7-46A0-801E-D0301E2E6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763B22-7D0C-4C8C-9A2A-8E98D2130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319714-F647-430E-8FFC-6FC6CAD1C5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9FB722-D20A-43E7-A4D0-CE603EB94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A9FDE0-625A-4944-A483-46F0A08448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5D51B4-566D-4D32-89DC-5967D8A0FC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1BF45D-AFFF-4728-A3FC-66C0E0191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2B55DB-E9FE-4CAE-AD83-23F7238171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CC52D2D-7989-4293-B8B6-2B954C7F21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8AB98E-3605-4258-B355-AF859D8A67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F11001-E2ED-4614-8383-A19378811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5DC2C0-3162-4E7D-BA98-0E478B9E0A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549948-D739-42EC-A209-CD4575C405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74BB55-33CF-4B71-8CEE-B6E02AD56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074FA4-A997-417F-AA47-CDD089A8BC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15EA2D-5DB9-47F6-A9D5-3F0FC5966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67E926-3641-45E4-8183-46D5178DF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A7AB18-3D18-46DC-A95C-22AECDCDA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369338-FBCB-4832-9C14-F516137EE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1CEB78F-0842-4FCF-8179-5D0ECD28B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tabSelected="1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8D3916BD-6F0B-4C75-8B54-F1C991C808C9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  <cdr:relSizeAnchor xmlns:cdr="http://schemas.openxmlformats.org/drawingml/2006/chartDrawing">
    <cdr:from>
      <cdr:x>0.31959</cdr:x>
      <cdr:y>0.02557</cdr:y>
    </cdr:from>
    <cdr:to>
      <cdr:x>0.72621</cdr:x>
      <cdr:y>0.15985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027432" y="160387"/>
          <a:ext cx="3851856" cy="842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0.00134</cdr:x>
      <cdr:y>0.00354</cdr:y>
    </cdr:from>
    <cdr:to>
      <cdr:x>0.77731</cdr:x>
      <cdr:y>0.08889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20053" y="30311"/>
          <a:ext cx="11623548" cy="731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(Randomized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0.69941</cdr:x>
      <cdr:y>0.01023</cdr:y>
    </cdr:from>
    <cdr:to>
      <cdr:x>0.98391</cdr:x>
      <cdr:y>0.08056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6625389" y="64168"/>
          <a:ext cx="2695074" cy="441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0.62066</cdr:x>
      <cdr:y>0.3734</cdr:y>
    </cdr:from>
    <cdr:to>
      <cdr:x>0.71719</cdr:x>
      <cdr:y>0.51918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5879432" y="234214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0.08975</cdr:x>
      <cdr:y>0.10997</cdr:y>
    </cdr:from>
    <cdr:to>
      <cdr:x>0.45047</cdr:x>
      <cdr:y>0.31586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50232" y="689811"/>
          <a:ext cx="3416968" cy="1291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0.13325</cdr:x>
      <cdr:y>0.6902</cdr:y>
    </cdr:from>
    <cdr:to>
      <cdr:x>0.25434</cdr:x>
      <cdr:y>0.81031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995988" y="5916781"/>
          <a:ext cx="1813845" cy="1029631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Throughput </a:t>
          </a:r>
          <a:r>
            <a:rPr lang="en-US" sz="400"/>
            <a:t>(</a:t>
          </a:r>
          <a:r>
            <a:rPr lang="en-US" sz="800"/>
            <a:t>Todate</a:t>
          </a:r>
          <a:r>
            <a:rPr lang="en-US" sz="400"/>
            <a:t>)  </a:t>
          </a:r>
          <a:r>
            <a:rPr lang="en-US" sz="1100">
              <a:effectLst/>
              <a:latin typeface="+mn-lt"/>
              <a:ea typeface="+mn-ea"/>
              <a:cs typeface="+mn-cs"/>
            </a:rPr>
            <a:t>29</a:t>
          </a:r>
          <a:r>
            <a:rPr lang="en-US" sz="400"/>
            <a:t> </a:t>
          </a:r>
          <a:r>
            <a:rPr lang="en-US" sz="1100"/>
            <a:t>/ Scope </a:t>
          </a:r>
          <a:r>
            <a:rPr lang="en-US" sz="800"/>
            <a:t>(total)</a:t>
          </a:r>
          <a:r>
            <a:rPr lang="en-US" sz="1100"/>
            <a:t> 80</a:t>
          </a:r>
          <a:r>
            <a:rPr lang="en-US" sz="1100" baseline="0"/>
            <a:t> </a:t>
          </a:r>
          <a:r>
            <a:rPr lang="en-US" sz="1100"/>
            <a:t> =  36% complete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</cdr:x>
      <cdr:y>0.10358</cdr:y>
    </cdr:from>
    <cdr:to>
      <cdr:x>0.75868</cdr:x>
      <cdr:y>0.21739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5301916" y="649705"/>
          <a:ext cx="1884947" cy="7138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0.50212</cdr:x>
      <cdr:y>0.11381</cdr:y>
    </cdr:from>
    <cdr:to>
      <cdr:x>0.75275</cdr:x>
      <cdr:y>0.23529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4756484" y="713874"/>
          <a:ext cx="2374232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0.43346</cdr:x>
      <cdr:y>0.69214</cdr:y>
    </cdr:from>
    <cdr:to>
      <cdr:x>0.57296</cdr:x>
      <cdr:y>0.80595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6492939" y="5933374"/>
          <a:ext cx="2089614" cy="97563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Recent Growth:  0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cards per wk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Velocity: 1.25 cards per week</a:t>
          </a:r>
          <a:endParaRPr lang="en-US">
            <a:effectLst/>
          </a:endParaRPr>
        </a:p>
        <a:p xmlns:a="http://schemas.openxmlformats.org/drawingml/2006/main">
          <a:r>
            <a:rPr lang="en-US" sz="1100" baseline="0">
              <a:effectLst/>
              <a:latin typeface="+mn-lt"/>
              <a:ea typeface="+mn-ea"/>
              <a:cs typeface="+mn-cs"/>
            </a:rPr>
            <a:t>Cycle time: 5 days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0.64859</cdr:x>
      <cdr:y>0.29647</cdr:y>
    </cdr:from>
    <cdr:to>
      <cdr:x>0.88138</cdr:x>
      <cdr:y>0.76497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FEA2BB1C-879E-4B86-BD6F-FE4D70C3FC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715478" y="2541484"/>
          <a:ext cx="3487035" cy="40162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0.52544</cdr:x>
      <cdr:y>0.4</cdr:y>
    </cdr:from>
    <cdr:to>
      <cdr:x>0.62651</cdr:x>
      <cdr:y>0.44444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C113FAD-F244-4C80-85F2-5E701C545AA2}"/>
            </a:ext>
          </a:extLst>
        </cdr:cNvPr>
        <cdr:cNvSpPr txBox="1"/>
      </cdr:nvSpPr>
      <cdr:spPr>
        <a:xfrm xmlns:a="http://schemas.openxmlformats.org/drawingml/2006/main">
          <a:off x="7870658" y="3429000"/>
          <a:ext cx="151397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5"/>
  <sheetViews>
    <sheetView zoomScale="83" zoomScaleNormal="83" workbookViewId="0">
      <pane ySplit="1" topLeftCell="A2" activePane="bottomLeft" state="frozen"/>
      <selection pane="bottomLeft" activeCell="H47" sqref="H47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0" customFormat="1" ht="87" customHeight="1" x14ac:dyDescent="0.3">
      <c r="A1" s="14" t="s">
        <v>2</v>
      </c>
      <c r="B1" s="14" t="s">
        <v>3</v>
      </c>
      <c r="C1" s="14" t="s">
        <v>4</v>
      </c>
      <c r="D1" s="14" t="s">
        <v>5</v>
      </c>
      <c r="E1" s="15" t="s">
        <v>6</v>
      </c>
      <c r="F1" s="16" t="s">
        <v>7</v>
      </c>
      <c r="G1" s="17" t="s">
        <v>8</v>
      </c>
      <c r="H1" s="17" t="s">
        <v>9</v>
      </c>
      <c r="I1" s="17" t="s">
        <v>10</v>
      </c>
      <c r="J1" s="18" t="s">
        <v>11</v>
      </c>
      <c r="K1" s="14" t="s">
        <v>27</v>
      </c>
      <c r="L1" s="19" t="s">
        <v>12</v>
      </c>
      <c r="M1" s="19" t="s">
        <v>30</v>
      </c>
      <c r="N1" s="19" t="s">
        <v>13</v>
      </c>
    </row>
    <row r="2" spans="1:16" s="31" customFormat="1" ht="14.5" x14ac:dyDescent="0.35">
      <c r="A2" s="25">
        <v>43712</v>
      </c>
      <c r="B2" s="25">
        <v>43721</v>
      </c>
      <c r="C2" s="26"/>
      <c r="D2" s="27">
        <f>NETWORKDAYS(A2,B2,)-$C2</f>
        <v>8</v>
      </c>
      <c r="E2" s="28" t="s">
        <v>1</v>
      </c>
      <c r="F2" s="29" t="s">
        <v>26</v>
      </c>
      <c r="G2" s="26" t="s">
        <v>31</v>
      </c>
      <c r="H2" s="26" t="s">
        <v>32</v>
      </c>
      <c r="I2" s="26" t="s">
        <v>33</v>
      </c>
      <c r="J2" s="30" t="s">
        <v>34</v>
      </c>
      <c r="K2" s="27">
        <f>ROUND(AVERAGE(D2:D2),1)</f>
        <v>8</v>
      </c>
      <c r="L2" s="31" t="s">
        <v>35</v>
      </c>
      <c r="M2" s="13" t="s">
        <v>36</v>
      </c>
      <c r="N2" s="13"/>
      <c r="O2" s="32"/>
      <c r="P2" s="32"/>
    </row>
    <row r="3" spans="1:16" s="12" customFormat="1" ht="14.5" x14ac:dyDescent="0.35">
      <c r="A3" s="6"/>
      <c r="B3" s="6"/>
      <c r="C3" s="7"/>
      <c r="D3" s="8">
        <f t="shared" ref="D3:D26" si="0">NETWORKDAYS(A3,B3,)-$C3</f>
        <v>0</v>
      </c>
      <c r="E3" s="9"/>
      <c r="F3" s="10"/>
      <c r="G3" s="7"/>
      <c r="H3" s="7"/>
      <c r="I3" s="7"/>
      <c r="J3" s="11"/>
      <c r="K3" s="8">
        <f>ROUND(AVERAGE(D2:D3),1)</f>
        <v>4</v>
      </c>
      <c r="M3" s="13"/>
      <c r="N3" s="13"/>
      <c r="O3" s="2"/>
      <c r="P3" s="2"/>
    </row>
    <row r="4" spans="1:16" s="12" customFormat="1" ht="14.5" x14ac:dyDescent="0.35">
      <c r="A4" s="6"/>
      <c r="B4" s="6"/>
      <c r="C4" s="7"/>
      <c r="D4" s="8">
        <f t="shared" si="0"/>
        <v>0</v>
      </c>
      <c r="E4" s="9"/>
      <c r="F4" s="10"/>
      <c r="G4" s="7"/>
      <c r="H4" s="7"/>
      <c r="I4" s="7"/>
      <c r="J4" s="11"/>
      <c r="K4" s="8">
        <f>ROUND(AVERAGE(D2:D4),1)</f>
        <v>2.7</v>
      </c>
      <c r="M4" s="13"/>
      <c r="N4" s="13"/>
      <c r="O4" s="2"/>
      <c r="P4" s="2"/>
    </row>
    <row r="5" spans="1:16" s="12" customFormat="1" ht="14.5" x14ac:dyDescent="0.35">
      <c r="A5" s="6"/>
      <c r="B5" s="6"/>
      <c r="C5" s="7"/>
      <c r="D5" s="8">
        <f t="shared" si="0"/>
        <v>0</v>
      </c>
      <c r="E5" s="9"/>
      <c r="F5" s="10"/>
      <c r="G5" s="7"/>
      <c r="H5" s="7"/>
      <c r="I5" s="7"/>
      <c r="J5" s="11"/>
      <c r="K5" s="8">
        <f>ROUND(AVERAGE(D2:D5),1)</f>
        <v>2</v>
      </c>
      <c r="M5" s="13"/>
      <c r="N5" s="13"/>
      <c r="O5" s="2"/>
      <c r="P5" s="2"/>
    </row>
    <row r="6" spans="1:16" s="12" customFormat="1" ht="14.5" x14ac:dyDescent="0.35">
      <c r="A6" s="6"/>
      <c r="B6" s="6"/>
      <c r="C6" s="7"/>
      <c r="D6" s="8">
        <f t="shared" si="0"/>
        <v>0</v>
      </c>
      <c r="E6" s="9"/>
      <c r="F6" s="10"/>
      <c r="G6" s="7"/>
      <c r="H6" s="7"/>
      <c r="I6" s="7"/>
      <c r="J6" s="11"/>
      <c r="K6" s="8">
        <f>ROUND(AVERAGE(D2:D6),1)</f>
        <v>1.6</v>
      </c>
      <c r="M6" s="13"/>
      <c r="N6" s="13"/>
      <c r="O6" s="2"/>
      <c r="P6" s="2"/>
    </row>
    <row r="7" spans="1:16" s="12" customFormat="1" ht="14.5" x14ac:dyDescent="0.35">
      <c r="A7" s="6"/>
      <c r="B7" s="6"/>
      <c r="C7" s="7"/>
      <c r="D7" s="8">
        <f t="shared" si="0"/>
        <v>0</v>
      </c>
      <c r="E7" s="9"/>
      <c r="F7" s="10"/>
      <c r="G7" s="7"/>
      <c r="H7" s="7"/>
      <c r="I7" s="7"/>
      <c r="J7" s="11"/>
      <c r="K7" s="8">
        <f>ROUND(AVERAGE(D2:D7),1)</f>
        <v>1.3</v>
      </c>
      <c r="M7" s="13"/>
      <c r="N7" s="13"/>
      <c r="O7" s="2"/>
      <c r="P7" s="2"/>
    </row>
    <row r="8" spans="1:16" s="12" customFormat="1" ht="14.5" x14ac:dyDescent="0.35">
      <c r="A8" s="6"/>
      <c r="B8" s="6"/>
      <c r="C8" s="7"/>
      <c r="D8" s="8">
        <f t="shared" si="0"/>
        <v>0</v>
      </c>
      <c r="E8" s="9"/>
      <c r="F8" s="10"/>
      <c r="G8" s="7"/>
      <c r="H8" s="7"/>
      <c r="I8" s="7"/>
      <c r="J8" s="11"/>
      <c r="K8" s="8">
        <f>ROUND(AVERAGE(D2:D8),1)</f>
        <v>1.1000000000000001</v>
      </c>
      <c r="M8" s="13"/>
      <c r="N8" s="35"/>
      <c r="O8" s="2"/>
      <c r="P8" s="2"/>
    </row>
    <row r="9" spans="1:16" s="12" customFormat="1" ht="14.5" x14ac:dyDescent="0.35">
      <c r="A9" s="6"/>
      <c r="B9" s="6"/>
      <c r="C9" s="7"/>
      <c r="D9" s="8">
        <f t="shared" si="0"/>
        <v>0</v>
      </c>
      <c r="E9" s="9"/>
      <c r="F9" s="10"/>
      <c r="G9" s="7"/>
      <c r="H9" s="7"/>
      <c r="I9" s="7"/>
      <c r="J9" s="11"/>
      <c r="K9" s="8">
        <f>ROUND(AVERAGE(D2:D9),1)</f>
        <v>1</v>
      </c>
      <c r="M9" s="13"/>
      <c r="N9" s="35"/>
      <c r="O9" s="2"/>
      <c r="P9" s="2"/>
    </row>
    <row r="10" spans="1:16" s="12" customFormat="1" ht="14.5" x14ac:dyDescent="0.35">
      <c r="A10" s="6"/>
      <c r="B10" s="6"/>
      <c r="C10" s="7"/>
      <c r="D10" s="8">
        <f t="shared" si="0"/>
        <v>0</v>
      </c>
      <c r="E10" s="9"/>
      <c r="F10" s="10"/>
      <c r="G10" s="7"/>
      <c r="H10" s="7"/>
      <c r="I10" s="7"/>
      <c r="J10" s="11"/>
      <c r="K10" s="8">
        <f t="shared" ref="K10:K38" si="1">ROUND(AVERAGE(D3:D10),1)</f>
        <v>0</v>
      </c>
      <c r="M10" s="13"/>
      <c r="N10" s="35"/>
      <c r="O10" s="2"/>
      <c r="P10" s="2"/>
    </row>
    <row r="11" spans="1:16" s="12" customFormat="1" ht="14.5" x14ac:dyDescent="0.35">
      <c r="A11" s="6"/>
      <c r="B11" s="6"/>
      <c r="C11" s="7"/>
      <c r="D11" s="8">
        <f t="shared" si="0"/>
        <v>0</v>
      </c>
      <c r="E11" s="9"/>
      <c r="F11" s="10"/>
      <c r="G11" s="7"/>
      <c r="H11" s="7"/>
      <c r="I11" s="7"/>
      <c r="J11" s="11"/>
      <c r="K11" s="8">
        <f t="shared" si="1"/>
        <v>0</v>
      </c>
      <c r="M11" s="13"/>
      <c r="N11" s="35"/>
      <c r="O11" s="2"/>
      <c r="P11" s="2"/>
    </row>
    <row r="12" spans="1:16" s="12" customFormat="1" ht="14.5" x14ac:dyDescent="0.35">
      <c r="A12" s="6"/>
      <c r="B12" s="6"/>
      <c r="C12" s="7"/>
      <c r="D12" s="8">
        <f t="shared" si="0"/>
        <v>0</v>
      </c>
      <c r="E12" s="9"/>
      <c r="F12" s="10"/>
      <c r="G12" s="7"/>
      <c r="H12" s="7"/>
      <c r="I12" s="7"/>
      <c r="J12" s="11"/>
      <c r="K12" s="8">
        <f t="shared" si="1"/>
        <v>0</v>
      </c>
      <c r="M12" s="13"/>
      <c r="N12" s="35"/>
      <c r="O12" s="2"/>
      <c r="P12" s="2"/>
    </row>
    <row r="13" spans="1:16" s="12" customFormat="1" ht="15" customHeight="1" x14ac:dyDescent="0.35">
      <c r="A13" s="6"/>
      <c r="B13" s="6"/>
      <c r="C13" s="7"/>
      <c r="D13" s="8">
        <f t="shared" si="0"/>
        <v>0</v>
      </c>
      <c r="E13" s="9"/>
      <c r="F13" s="10"/>
      <c r="G13" s="7"/>
      <c r="H13" s="7"/>
      <c r="I13" s="7"/>
      <c r="J13" s="11"/>
      <c r="K13" s="8">
        <f t="shared" si="1"/>
        <v>0</v>
      </c>
      <c r="M13" s="13"/>
      <c r="N13" s="35"/>
      <c r="O13" s="2"/>
      <c r="P13" s="2"/>
    </row>
    <row r="14" spans="1:16" s="12" customFormat="1" ht="14.5" x14ac:dyDescent="0.35">
      <c r="A14" s="6"/>
      <c r="B14" s="6"/>
      <c r="C14" s="7"/>
      <c r="D14" s="8">
        <f t="shared" si="0"/>
        <v>0</v>
      </c>
      <c r="E14" s="9"/>
      <c r="F14" s="10"/>
      <c r="G14" s="7"/>
      <c r="H14" s="7"/>
      <c r="I14" s="7"/>
      <c r="J14" s="11"/>
      <c r="K14" s="8">
        <f t="shared" si="1"/>
        <v>0</v>
      </c>
      <c r="M14" s="13"/>
      <c r="N14" s="35"/>
      <c r="O14" s="2"/>
      <c r="P14" s="2"/>
    </row>
    <row r="15" spans="1:16" s="12" customFormat="1" ht="14.5" x14ac:dyDescent="0.35">
      <c r="A15" s="6"/>
      <c r="B15" s="6"/>
      <c r="C15" s="7"/>
      <c r="D15" s="8">
        <f t="shared" si="0"/>
        <v>0</v>
      </c>
      <c r="E15" s="9"/>
      <c r="F15" s="10"/>
      <c r="G15" s="7"/>
      <c r="H15" s="7"/>
      <c r="I15" s="7"/>
      <c r="J15" s="11"/>
      <c r="K15" s="8">
        <f t="shared" si="1"/>
        <v>0</v>
      </c>
      <c r="M15" s="13"/>
      <c r="N15" s="35"/>
      <c r="O15" s="2"/>
      <c r="P15" s="2"/>
    </row>
    <row r="16" spans="1:16" s="12" customFormat="1" ht="14.5" x14ac:dyDescent="0.35">
      <c r="A16" s="6"/>
      <c r="B16" s="6"/>
      <c r="C16" s="7"/>
      <c r="D16" s="8">
        <f t="shared" si="0"/>
        <v>0</v>
      </c>
      <c r="E16" s="9"/>
      <c r="F16" s="10"/>
      <c r="G16" s="7"/>
      <c r="H16" s="7"/>
      <c r="I16" s="7"/>
      <c r="J16" s="11"/>
      <c r="K16" s="8">
        <f t="shared" si="1"/>
        <v>0</v>
      </c>
      <c r="M16" s="13"/>
      <c r="N16" s="35"/>
      <c r="O16" s="2"/>
      <c r="P16" s="2"/>
    </row>
    <row r="17" spans="1:16" s="12" customFormat="1" ht="14.5" x14ac:dyDescent="0.35">
      <c r="A17" s="6"/>
      <c r="B17" s="6"/>
      <c r="C17" s="7"/>
      <c r="D17" s="8">
        <f t="shared" si="0"/>
        <v>0</v>
      </c>
      <c r="E17" s="9"/>
      <c r="F17" s="10"/>
      <c r="G17" s="7"/>
      <c r="H17" s="7"/>
      <c r="I17" s="7"/>
      <c r="J17" s="11"/>
      <c r="K17" s="8">
        <f t="shared" si="1"/>
        <v>0</v>
      </c>
      <c r="M17" s="13"/>
      <c r="N17" s="35"/>
      <c r="O17" s="2"/>
      <c r="P17" s="2"/>
    </row>
    <row r="18" spans="1:16" s="12" customFormat="1" ht="14.5" x14ac:dyDescent="0.35">
      <c r="A18" s="6"/>
      <c r="B18" s="6"/>
      <c r="C18" s="7"/>
      <c r="D18" s="8">
        <f t="shared" si="0"/>
        <v>0</v>
      </c>
      <c r="E18" s="9"/>
      <c r="F18" s="10"/>
      <c r="G18" s="7"/>
      <c r="H18" s="7"/>
      <c r="I18" s="7"/>
      <c r="J18" s="11"/>
      <c r="K18" s="8">
        <f t="shared" si="1"/>
        <v>0</v>
      </c>
      <c r="M18" s="13"/>
      <c r="N18" s="35"/>
      <c r="O18" s="2"/>
      <c r="P18" s="2"/>
    </row>
    <row r="19" spans="1:16" s="12" customFormat="1" ht="14.5" x14ac:dyDescent="0.35">
      <c r="A19" s="6"/>
      <c r="B19" s="6"/>
      <c r="C19" s="7"/>
      <c r="D19" s="8">
        <f t="shared" si="0"/>
        <v>0</v>
      </c>
      <c r="E19" s="9"/>
      <c r="F19" s="10"/>
      <c r="G19" s="7"/>
      <c r="H19" s="7"/>
      <c r="I19" s="7"/>
      <c r="J19" s="11"/>
      <c r="K19" s="8">
        <f t="shared" si="1"/>
        <v>0</v>
      </c>
      <c r="M19" s="13"/>
      <c r="N19" s="35"/>
      <c r="O19" s="2"/>
      <c r="P19" s="2"/>
    </row>
    <row r="20" spans="1:16" s="12" customFormat="1" ht="14.5" x14ac:dyDescent="0.35">
      <c r="A20" s="6"/>
      <c r="B20" s="6"/>
      <c r="C20" s="7"/>
      <c r="D20" s="8">
        <f t="shared" si="0"/>
        <v>0</v>
      </c>
      <c r="E20" s="9"/>
      <c r="F20" s="10"/>
      <c r="G20" s="7"/>
      <c r="H20" s="7"/>
      <c r="I20" s="7"/>
      <c r="J20" s="11"/>
      <c r="K20" s="8">
        <f t="shared" si="1"/>
        <v>0</v>
      </c>
      <c r="M20" s="13"/>
      <c r="N20" s="13"/>
      <c r="O20" s="2"/>
      <c r="P20" s="2"/>
    </row>
    <row r="21" spans="1:16" s="12" customFormat="1" ht="14.5" x14ac:dyDescent="0.35">
      <c r="A21" s="6"/>
      <c r="B21" s="6"/>
      <c r="C21" s="7"/>
      <c r="D21" s="8">
        <f t="shared" si="0"/>
        <v>0</v>
      </c>
      <c r="E21" s="9"/>
      <c r="F21" s="10"/>
      <c r="G21" s="7"/>
      <c r="H21" s="7"/>
      <c r="I21" s="7"/>
      <c r="J21" s="11"/>
      <c r="K21" s="8">
        <f t="shared" si="1"/>
        <v>0</v>
      </c>
      <c r="M21" s="13"/>
      <c r="N21" s="13"/>
      <c r="O21" s="2"/>
      <c r="P21" s="2"/>
    </row>
    <row r="22" spans="1:16" s="12" customFormat="1" ht="14.5" x14ac:dyDescent="0.35">
      <c r="A22" s="6"/>
      <c r="B22" s="6"/>
      <c r="C22" s="7"/>
      <c r="D22" s="8">
        <f t="shared" si="0"/>
        <v>0</v>
      </c>
      <c r="E22" s="9"/>
      <c r="F22" s="10"/>
      <c r="G22" s="7"/>
      <c r="H22" s="7"/>
      <c r="I22" s="7"/>
      <c r="J22" s="11"/>
      <c r="K22" s="8">
        <f t="shared" si="1"/>
        <v>0</v>
      </c>
      <c r="M22" s="13"/>
      <c r="N22" s="13"/>
      <c r="O22" s="2"/>
      <c r="P22" s="2"/>
    </row>
    <row r="23" spans="1:16" s="12" customFormat="1" ht="14.5" x14ac:dyDescent="0.35">
      <c r="A23" s="6"/>
      <c r="B23" s="6"/>
      <c r="C23" s="7"/>
      <c r="D23" s="8">
        <f t="shared" si="0"/>
        <v>0</v>
      </c>
      <c r="E23" s="9"/>
      <c r="F23" s="10"/>
      <c r="G23" s="7"/>
      <c r="H23" s="7"/>
      <c r="I23" s="7"/>
      <c r="J23" s="11"/>
      <c r="K23" s="8">
        <f t="shared" si="1"/>
        <v>0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>
        <f t="shared" si="0"/>
        <v>0</v>
      </c>
      <c r="E24" s="9"/>
      <c r="F24" s="10"/>
      <c r="G24" s="7"/>
      <c r="H24" s="7"/>
      <c r="I24" s="7"/>
      <c r="J24" s="11"/>
      <c r="K24" s="8">
        <f t="shared" si="1"/>
        <v>0</v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>
        <f t="shared" si="0"/>
        <v>0</v>
      </c>
      <c r="E25" s="9"/>
      <c r="F25" s="10"/>
      <c r="G25" s="7"/>
      <c r="H25" s="7"/>
      <c r="I25" s="7"/>
      <c r="J25" s="11"/>
      <c r="K25" s="8">
        <f t="shared" si="1"/>
        <v>0</v>
      </c>
      <c r="M25" s="13"/>
      <c r="N25" s="35"/>
      <c r="O25" s="2"/>
      <c r="P25" s="2"/>
    </row>
    <row r="26" spans="1:16" s="12" customFormat="1" ht="14.5" x14ac:dyDescent="0.35">
      <c r="A26" s="6"/>
      <c r="B26" s="6"/>
      <c r="C26" s="7"/>
      <c r="D26" s="8">
        <f t="shared" si="0"/>
        <v>0</v>
      </c>
      <c r="E26" s="9"/>
      <c r="F26" s="10"/>
      <c r="G26" s="7"/>
      <c r="H26" s="7"/>
      <c r="I26" s="7"/>
      <c r="J26" s="11"/>
      <c r="K26" s="8">
        <f t="shared" si="1"/>
        <v>0</v>
      </c>
      <c r="M26" s="13"/>
      <c r="N26" s="35"/>
      <c r="O26" s="2"/>
      <c r="P26" s="2"/>
    </row>
    <row r="27" spans="1:16" ht="14.5" x14ac:dyDescent="0.35">
      <c r="A27" s="6"/>
      <c r="B27" s="6"/>
      <c r="C27" s="7"/>
      <c r="D27" s="8">
        <f t="shared" ref="D27" si="2">NETWORKDAYS(A27,B27,)-$C27</f>
        <v>0</v>
      </c>
      <c r="E27" s="9"/>
      <c r="F27" s="10"/>
      <c r="G27" s="7"/>
      <c r="H27" s="7"/>
      <c r="I27" s="7"/>
      <c r="J27" s="11"/>
      <c r="K27" s="8">
        <f t="shared" si="1"/>
        <v>0</v>
      </c>
      <c r="L27" s="12"/>
      <c r="M27" s="13"/>
      <c r="N27" s="13"/>
    </row>
    <row r="28" spans="1:16" ht="14.5" x14ac:dyDescent="0.35">
      <c r="A28" s="6"/>
      <c r="B28" s="6"/>
      <c r="C28" s="7"/>
      <c r="D28" s="8">
        <f t="shared" ref="D28:D38" si="3">NETWORKDAYS(A28,B28,)-$C28</f>
        <v>0</v>
      </c>
      <c r="E28" s="9"/>
      <c r="F28" s="10"/>
      <c r="G28" s="7"/>
      <c r="H28" s="7"/>
      <c r="I28" s="7"/>
      <c r="J28" s="11"/>
      <c r="K28" s="8">
        <f t="shared" si="1"/>
        <v>0</v>
      </c>
      <c r="L28" s="12"/>
      <c r="M28" s="13"/>
      <c r="N28" s="35"/>
    </row>
    <row r="29" spans="1:16" s="2" customFormat="1" ht="14.5" x14ac:dyDescent="0.35">
      <c r="A29" s="6"/>
      <c r="B29" s="6"/>
      <c r="C29" s="7"/>
      <c r="D29" s="8">
        <f t="shared" si="3"/>
        <v>0</v>
      </c>
      <c r="E29" s="9"/>
      <c r="F29" s="10"/>
      <c r="G29" s="7"/>
      <c r="H29" s="7"/>
      <c r="I29" s="7"/>
      <c r="J29" s="11"/>
      <c r="K29" s="8">
        <f t="shared" si="1"/>
        <v>0</v>
      </c>
      <c r="L29" s="12"/>
      <c r="M29" s="13"/>
      <c r="N29" s="35"/>
      <c r="O29" s="32"/>
    </row>
    <row r="30" spans="1:16" ht="14.5" x14ac:dyDescent="0.35">
      <c r="A30" s="6"/>
      <c r="B30" s="6"/>
      <c r="C30" s="7"/>
      <c r="D30" s="8">
        <f t="shared" si="3"/>
        <v>0</v>
      </c>
      <c r="E30" s="9"/>
      <c r="F30" s="10"/>
      <c r="G30" s="7"/>
      <c r="H30" s="7"/>
      <c r="I30" s="7"/>
      <c r="J30" s="11"/>
      <c r="K30" s="8">
        <f t="shared" si="1"/>
        <v>0</v>
      </c>
      <c r="L30" s="12"/>
      <c r="M30" s="13"/>
      <c r="N30" s="35"/>
    </row>
    <row r="31" spans="1:16" ht="14.5" x14ac:dyDescent="0.35">
      <c r="A31" s="6"/>
      <c r="B31" s="6"/>
      <c r="C31" s="7"/>
      <c r="D31" s="8">
        <f t="shared" si="3"/>
        <v>0</v>
      </c>
      <c r="E31" s="9"/>
      <c r="F31" s="10"/>
      <c r="G31" s="7"/>
      <c r="H31" s="7"/>
      <c r="I31" s="7"/>
      <c r="J31" s="11"/>
      <c r="K31" s="8">
        <f t="shared" si="1"/>
        <v>0</v>
      </c>
      <c r="L31" s="12"/>
      <c r="M31" s="13"/>
      <c r="N31" s="35"/>
    </row>
    <row r="32" spans="1:16" ht="14.5" x14ac:dyDescent="0.35">
      <c r="A32" s="6"/>
      <c r="B32" s="6"/>
      <c r="C32" s="7"/>
      <c r="D32" s="8">
        <f t="shared" si="3"/>
        <v>0</v>
      </c>
      <c r="E32" s="9"/>
      <c r="F32" s="10"/>
      <c r="G32" s="7"/>
      <c r="H32" s="7"/>
      <c r="I32" s="7"/>
      <c r="J32" s="11"/>
      <c r="K32" s="8">
        <f t="shared" si="1"/>
        <v>0</v>
      </c>
      <c r="L32" s="12"/>
      <c r="M32" s="13"/>
      <c r="N32" s="35"/>
    </row>
    <row r="33" spans="1:14" ht="14.5" x14ac:dyDescent="0.35">
      <c r="A33" s="6"/>
      <c r="B33" s="6"/>
      <c r="C33" s="7"/>
      <c r="D33" s="8">
        <f t="shared" si="3"/>
        <v>0</v>
      </c>
      <c r="E33" s="9"/>
      <c r="F33" s="10"/>
      <c r="G33" s="7"/>
      <c r="H33" s="7"/>
      <c r="I33" s="7"/>
      <c r="J33" s="11"/>
      <c r="K33" s="8">
        <f t="shared" si="1"/>
        <v>0</v>
      </c>
      <c r="M33" s="13"/>
      <c r="N33" s="35"/>
    </row>
    <row r="34" spans="1:14" ht="14.5" x14ac:dyDescent="0.35">
      <c r="A34" s="6"/>
      <c r="B34" s="6"/>
      <c r="C34" s="7"/>
      <c r="D34" s="8">
        <f t="shared" si="3"/>
        <v>0</v>
      </c>
      <c r="E34" s="9"/>
      <c r="F34" s="10"/>
      <c r="G34" s="7"/>
      <c r="H34" s="7"/>
      <c r="I34" s="7"/>
      <c r="J34" s="11"/>
      <c r="K34" s="8">
        <f t="shared" si="1"/>
        <v>0</v>
      </c>
      <c r="M34" s="13"/>
      <c r="N34" s="35"/>
    </row>
    <row r="35" spans="1:14" ht="14.5" x14ac:dyDescent="0.35">
      <c r="A35" s="6"/>
      <c r="B35" s="6"/>
      <c r="C35" s="7"/>
      <c r="D35" s="8">
        <f t="shared" si="3"/>
        <v>0</v>
      </c>
      <c r="E35" s="9"/>
      <c r="F35" s="10"/>
      <c r="G35" s="7"/>
      <c r="H35" s="7"/>
      <c r="I35" s="7"/>
      <c r="J35" s="11"/>
      <c r="K35" s="8">
        <f t="shared" si="1"/>
        <v>0</v>
      </c>
      <c r="M35" s="13"/>
      <c r="N35" s="35"/>
    </row>
    <row r="36" spans="1:14" ht="14.5" x14ac:dyDescent="0.35">
      <c r="A36" s="6"/>
      <c r="B36" s="6"/>
      <c r="C36" s="7"/>
      <c r="D36" s="8">
        <f t="shared" si="3"/>
        <v>0</v>
      </c>
      <c r="E36" s="9"/>
      <c r="F36" s="10"/>
      <c r="G36" s="7"/>
      <c r="H36" s="7"/>
      <c r="I36" s="7"/>
      <c r="J36" s="11"/>
      <c r="K36" s="8">
        <f t="shared" si="1"/>
        <v>0</v>
      </c>
      <c r="M36" s="13"/>
      <c r="N36" s="35"/>
    </row>
    <row r="37" spans="1:14" ht="14.5" x14ac:dyDescent="0.35">
      <c r="A37" s="6"/>
      <c r="B37" s="6"/>
      <c r="C37" s="7"/>
      <c r="D37" s="8">
        <f t="shared" si="3"/>
        <v>0</v>
      </c>
      <c r="E37" s="9"/>
      <c r="F37" s="10"/>
      <c r="G37" s="7"/>
      <c r="H37" s="7"/>
      <c r="I37" s="7"/>
      <c r="J37" s="11"/>
      <c r="K37" s="8">
        <f t="shared" si="1"/>
        <v>0</v>
      </c>
      <c r="L37" s="2"/>
      <c r="M37" s="13"/>
      <c r="N37" s="35"/>
    </row>
    <row r="38" spans="1:14" ht="14.5" x14ac:dyDescent="0.35">
      <c r="A38" s="6"/>
      <c r="B38" s="6"/>
      <c r="C38" s="7"/>
      <c r="D38" s="8">
        <f t="shared" si="3"/>
        <v>0</v>
      </c>
      <c r="E38" s="9"/>
      <c r="F38" s="10"/>
      <c r="G38" s="7"/>
      <c r="H38" s="7"/>
      <c r="I38" s="7"/>
      <c r="J38" s="11"/>
      <c r="K38" s="8">
        <f t="shared" si="1"/>
        <v>0</v>
      </c>
      <c r="L38" s="2"/>
      <c r="M38" s="13"/>
      <c r="N38" s="35"/>
    </row>
    <row r="39" spans="1:14" ht="14.5" x14ac:dyDescent="0.35">
      <c r="A39" s="6"/>
      <c r="B39" s="6"/>
      <c r="C39" s="7"/>
      <c r="D39" s="8">
        <f t="shared" ref="D39:D41" si="4">NETWORKDAYS(A39,B39,)-$C39</f>
        <v>0</v>
      </c>
      <c r="E39" s="9"/>
      <c r="F39" s="10"/>
      <c r="G39" s="7"/>
      <c r="H39" s="7"/>
      <c r="I39" s="7"/>
      <c r="J39" s="11"/>
      <c r="K39" s="8">
        <f t="shared" ref="K39:K41" si="5">ROUND(AVERAGE(D32:D39),1)</f>
        <v>0</v>
      </c>
      <c r="L39" s="2"/>
      <c r="M39" s="13"/>
      <c r="N39" s="35"/>
    </row>
    <row r="40" spans="1:14" ht="14.5" x14ac:dyDescent="0.35">
      <c r="A40" s="6"/>
      <c r="B40" s="6"/>
      <c r="C40" s="7"/>
      <c r="D40" s="8">
        <f t="shared" si="4"/>
        <v>0</v>
      </c>
      <c r="E40" s="9"/>
      <c r="F40" s="10"/>
      <c r="G40" s="7"/>
      <c r="H40" s="7"/>
      <c r="I40" s="7"/>
      <c r="J40" s="11"/>
      <c r="K40" s="8">
        <f t="shared" si="5"/>
        <v>0</v>
      </c>
      <c r="L40" s="2"/>
      <c r="M40" s="13"/>
      <c r="N40" s="35"/>
    </row>
    <row r="41" spans="1:14" ht="14.5" x14ac:dyDescent="0.35">
      <c r="A41" s="6"/>
      <c r="B41" s="6"/>
      <c r="C41" s="7"/>
      <c r="D41" s="8">
        <f t="shared" si="4"/>
        <v>0</v>
      </c>
      <c r="E41" s="9"/>
      <c r="F41" s="10"/>
      <c r="G41" s="7"/>
      <c r="H41" s="7"/>
      <c r="I41" s="7"/>
      <c r="J41" s="11"/>
      <c r="K41" s="8">
        <f t="shared" si="5"/>
        <v>0</v>
      </c>
      <c r="L41" s="2"/>
      <c r="M41" s="13"/>
      <c r="N41" s="35"/>
    </row>
    <row r="45" spans="1:14" x14ac:dyDescent="0.25">
      <c r="A45" s="36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89"/>
  <sheetViews>
    <sheetView zoomScale="51" zoomScaleNormal="5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14" sqref="H114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9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 t="e">
        <f>ROUND(LOOKUP(9999,$H:$H),2)</f>
        <v>#N/A</v>
      </c>
      <c r="H2" s="2"/>
      <c r="I2" s="2"/>
      <c r="J2" s="2"/>
      <c r="K2" s="2"/>
      <c r="L2" s="21" t="e">
        <f>STDEV($H:$H)</f>
        <v>#DIV/0!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9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1">
        <f>COUNTIF(P5:P113,"Y")</f>
        <v>0</v>
      </c>
      <c r="Q3" s="41">
        <f>COUNTIF(Q5:Q113,"Y")</f>
        <v>0</v>
      </c>
      <c r="R3" s="41">
        <f>COUNTIF(R5:R113,"Y")</f>
        <v>0</v>
      </c>
      <c r="S3" s="2"/>
      <c r="T3" s="2"/>
      <c r="U3" s="2"/>
      <c r="V3" s="2"/>
      <c r="W3" s="2"/>
      <c r="X3" s="2"/>
    </row>
    <row r="4" spans="1:29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N4" s="2"/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  <c r="T4" s="2"/>
      <c r="U4" s="2"/>
      <c r="V4" s="2"/>
      <c r="W4" s="2"/>
      <c r="X4" s="2"/>
    </row>
    <row r="5" spans="1:29" s="2" customFormat="1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s="2" customFormat="1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 t="str">
        <f t="shared" ref="AB6" si="14">IF(AF6="","",Z6+InitialScope)</f>
        <v/>
      </c>
      <c r="AC6" s="2" t="str">
        <f t="shared" ref="AC6" si="15">(IF(AB6="","",AB6+AC5))</f>
        <v/>
      </c>
    </row>
    <row r="7" spans="1:29" s="2" customFormat="1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6">IF(I7&lt;&gt;"",IF(D8="",D7+$C$2,""),E6+$C$2)</f>
        <v>80</v>
      </c>
      <c r="F7" s="34" t="e">
        <f t="shared" ref="F7:F70" si="17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s="2" customFormat="1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6"/>
        <v>80</v>
      </c>
      <c r="F8" s="34" t="e">
        <f t="shared" si="17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s="2" customFormat="1" x14ac:dyDescent="0.25">
      <c r="A9" s="34">
        <v>43742</v>
      </c>
      <c r="B9" s="4"/>
      <c r="C9" s="5" t="str">
        <f t="shared" ref="C9:C72" si="18">IF(B9="","",ROUND(AVERAGE(B6:B9),2))</f>
        <v/>
      </c>
      <c r="D9" s="4" t="str">
        <f t="shared" si="5"/>
        <v/>
      </c>
      <c r="E9" s="4">
        <f t="shared" si="16"/>
        <v>80</v>
      </c>
      <c r="F9" s="34" t="e">
        <f t="shared" si="17"/>
        <v>#VALUE!</v>
      </c>
      <c r="G9" s="4" t="str">
        <f t="shared" si="0"/>
        <v/>
      </c>
      <c r="H9" s="5" t="str">
        <f t="shared" ref="H9:H72" si="19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s="2" customFormat="1" x14ac:dyDescent="0.25">
      <c r="A10" s="34">
        <v>43749</v>
      </c>
      <c r="B10" s="4"/>
      <c r="C10" s="5" t="str">
        <f t="shared" si="18"/>
        <v/>
      </c>
      <c r="D10" s="4" t="str">
        <f t="shared" si="5"/>
        <v/>
      </c>
      <c r="E10" s="4">
        <f t="shared" si="16"/>
        <v>80</v>
      </c>
      <c r="F10" s="34" t="e">
        <f t="shared" si="17"/>
        <v>#VALUE!</v>
      </c>
      <c r="G10" s="4" t="str">
        <f t="shared" si="0"/>
        <v/>
      </c>
      <c r="H10" s="5" t="str">
        <f t="shared" si="19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s="2" customFormat="1" x14ac:dyDescent="0.25">
      <c r="A11" s="34">
        <v>43756</v>
      </c>
      <c r="B11" s="4"/>
      <c r="C11" s="5" t="str">
        <f t="shared" si="18"/>
        <v/>
      </c>
      <c r="D11" s="4" t="str">
        <f t="shared" si="5"/>
        <v/>
      </c>
      <c r="E11" s="4">
        <f t="shared" si="16"/>
        <v>80</v>
      </c>
      <c r="F11" s="34" t="e">
        <f t="shared" si="17"/>
        <v>#VALUE!</v>
      </c>
      <c r="G11" s="4" t="str">
        <f t="shared" si="0"/>
        <v/>
      </c>
      <c r="H11" s="5" t="str">
        <f t="shared" si="19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s="2" customFormat="1" x14ac:dyDescent="0.25">
      <c r="A12" s="34">
        <v>43763</v>
      </c>
      <c r="B12" s="4"/>
      <c r="C12" s="5" t="str">
        <f t="shared" si="18"/>
        <v/>
      </c>
      <c r="D12" s="4" t="str">
        <f t="shared" si="5"/>
        <v/>
      </c>
      <c r="E12" s="4">
        <f t="shared" si="16"/>
        <v>80</v>
      </c>
      <c r="F12" s="34" t="e">
        <f t="shared" si="17"/>
        <v>#VALUE!</v>
      </c>
      <c r="G12" s="4" t="str">
        <f t="shared" si="0"/>
        <v/>
      </c>
      <c r="H12" s="5" t="str">
        <f t="shared" si="19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s="2" customFormat="1" x14ac:dyDescent="0.25">
      <c r="A13" s="34">
        <v>43770</v>
      </c>
      <c r="B13" s="4"/>
      <c r="C13" s="5" t="str">
        <f t="shared" si="18"/>
        <v/>
      </c>
      <c r="D13" s="4" t="str">
        <f t="shared" si="5"/>
        <v/>
      </c>
      <c r="E13" s="4">
        <f t="shared" si="16"/>
        <v>80</v>
      </c>
      <c r="F13" s="34" t="e">
        <f t="shared" si="17"/>
        <v>#VALUE!</v>
      </c>
      <c r="G13" s="4" t="str">
        <f t="shared" si="0"/>
        <v/>
      </c>
      <c r="H13" s="5" t="str">
        <f t="shared" si="19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s="2" customFormat="1" x14ac:dyDescent="0.25">
      <c r="A14" s="34">
        <v>43777</v>
      </c>
      <c r="B14" s="4"/>
      <c r="C14" s="5" t="str">
        <f t="shared" si="18"/>
        <v/>
      </c>
      <c r="D14" s="4" t="str">
        <f t="shared" si="5"/>
        <v/>
      </c>
      <c r="E14" s="4">
        <f t="shared" si="16"/>
        <v>80</v>
      </c>
      <c r="F14" s="34" t="e">
        <f t="shared" si="17"/>
        <v>#VALUE!</v>
      </c>
      <c r="G14" s="4" t="str">
        <f t="shared" si="0"/>
        <v/>
      </c>
      <c r="H14" s="5" t="str">
        <f t="shared" si="19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s="2" customFormat="1" x14ac:dyDescent="0.25">
      <c r="A15" s="34">
        <v>43784</v>
      </c>
      <c r="B15" s="4"/>
      <c r="C15" s="5" t="str">
        <f t="shared" si="18"/>
        <v/>
      </c>
      <c r="D15" s="4" t="str">
        <f t="shared" si="5"/>
        <v/>
      </c>
      <c r="E15" s="4">
        <f t="shared" si="16"/>
        <v>80</v>
      </c>
      <c r="F15" s="34" t="e">
        <f t="shared" si="17"/>
        <v>#VALUE!</v>
      </c>
      <c r="G15" s="4" t="str">
        <f t="shared" si="0"/>
        <v/>
      </c>
      <c r="H15" s="5" t="str">
        <f t="shared" si="19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s="2" customFormat="1" x14ac:dyDescent="0.25">
      <c r="A16" s="34">
        <v>43791</v>
      </c>
      <c r="B16" s="4"/>
      <c r="C16" s="5" t="str">
        <f t="shared" si="18"/>
        <v/>
      </c>
      <c r="D16" s="4" t="str">
        <f t="shared" si="5"/>
        <v/>
      </c>
      <c r="E16" s="4">
        <f t="shared" si="16"/>
        <v>80</v>
      </c>
      <c r="F16" s="34" t="e">
        <f t="shared" si="17"/>
        <v>#VALUE!</v>
      </c>
      <c r="G16" s="4" t="str">
        <f t="shared" si="0"/>
        <v/>
      </c>
      <c r="H16" s="5" t="str">
        <f t="shared" si="19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4" s="2" customFormat="1" x14ac:dyDescent="0.25">
      <c r="A17" s="34">
        <v>43798</v>
      </c>
      <c r="B17" s="4"/>
      <c r="C17" s="5" t="str">
        <f t="shared" si="18"/>
        <v/>
      </c>
      <c r="D17" s="4" t="str">
        <f t="shared" si="5"/>
        <v/>
      </c>
      <c r="E17" s="4">
        <f t="shared" si="16"/>
        <v>80</v>
      </c>
      <c r="F17" s="34" t="e">
        <f t="shared" si="17"/>
        <v>#VALUE!</v>
      </c>
      <c r="G17" s="4" t="str">
        <f t="shared" si="0"/>
        <v/>
      </c>
      <c r="H17" s="5" t="str">
        <f t="shared" si="19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4" x14ac:dyDescent="0.25">
      <c r="A18" s="34">
        <v>43805</v>
      </c>
      <c r="B18" s="4"/>
      <c r="C18" s="5" t="str">
        <f t="shared" si="18"/>
        <v/>
      </c>
      <c r="D18" s="4" t="str">
        <f t="shared" si="5"/>
        <v/>
      </c>
      <c r="E18" s="4">
        <f t="shared" si="16"/>
        <v>80</v>
      </c>
      <c r="F18" s="34" t="e">
        <f t="shared" si="17"/>
        <v>#VALUE!</v>
      </c>
      <c r="G18" s="4" t="str">
        <f t="shared" si="0"/>
        <v/>
      </c>
      <c r="H18" s="5" t="str">
        <f t="shared" si="19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N18" s="2"/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W18" s="2"/>
      <c r="X18" s="2"/>
    </row>
    <row r="19" spans="1:24" x14ac:dyDescent="0.25">
      <c r="A19" s="34">
        <v>43812</v>
      </c>
      <c r="B19" s="4"/>
      <c r="C19" s="5" t="str">
        <f t="shared" si="18"/>
        <v/>
      </c>
      <c r="D19" s="4" t="str">
        <f t="shared" si="5"/>
        <v/>
      </c>
      <c r="E19" s="4">
        <f t="shared" si="16"/>
        <v>80</v>
      </c>
      <c r="F19" s="34" t="e">
        <f t="shared" si="17"/>
        <v>#VALUE!</v>
      </c>
      <c r="G19" s="4" t="str">
        <f t="shared" si="0"/>
        <v/>
      </c>
      <c r="H19" s="5" t="str">
        <f t="shared" si="19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N19" s="2"/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W19" s="2"/>
      <c r="X19" s="2"/>
    </row>
    <row r="20" spans="1:24" x14ac:dyDescent="0.25">
      <c r="A20" s="34">
        <v>43819</v>
      </c>
      <c r="B20" s="4"/>
      <c r="C20" s="5" t="str">
        <f t="shared" si="18"/>
        <v/>
      </c>
      <c r="D20" s="4" t="str">
        <f t="shared" si="5"/>
        <v/>
      </c>
      <c r="E20" s="4">
        <f t="shared" si="16"/>
        <v>80</v>
      </c>
      <c r="F20" s="34" t="e">
        <f t="shared" si="17"/>
        <v>#VALUE!</v>
      </c>
      <c r="G20" s="4" t="str">
        <f t="shared" si="0"/>
        <v/>
      </c>
      <c r="H20" s="5" t="str">
        <f t="shared" si="19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N20" s="2"/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  <c r="W20" s="2"/>
      <c r="X20" s="2"/>
    </row>
    <row r="21" spans="1:24" x14ac:dyDescent="0.25">
      <c r="A21" s="34">
        <v>43826</v>
      </c>
      <c r="B21" s="4"/>
      <c r="C21" s="5" t="str">
        <f t="shared" si="18"/>
        <v/>
      </c>
      <c r="D21" s="4" t="str">
        <f t="shared" si="5"/>
        <v/>
      </c>
      <c r="E21" s="4">
        <f t="shared" si="16"/>
        <v>80</v>
      </c>
      <c r="F21" s="34" t="e">
        <f t="shared" si="17"/>
        <v>#VALUE!</v>
      </c>
      <c r="G21" s="4" t="str">
        <f t="shared" si="0"/>
        <v/>
      </c>
      <c r="H21" s="5" t="str">
        <f t="shared" si="19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N21" s="2"/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  <c r="W21" s="2"/>
      <c r="X21" s="2"/>
    </row>
    <row r="22" spans="1:24" x14ac:dyDescent="0.25">
      <c r="A22" s="34">
        <v>43833</v>
      </c>
      <c r="B22" s="4"/>
      <c r="C22" s="5" t="str">
        <f t="shared" si="18"/>
        <v/>
      </c>
      <c r="D22" s="4" t="str">
        <f t="shared" si="5"/>
        <v/>
      </c>
      <c r="E22" s="4">
        <f t="shared" si="16"/>
        <v>80</v>
      </c>
      <c r="F22" s="34" t="e">
        <f t="shared" si="17"/>
        <v>#VALUE!</v>
      </c>
      <c r="G22" s="4" t="str">
        <f t="shared" si="0"/>
        <v/>
      </c>
      <c r="H22" s="5" t="str">
        <f t="shared" si="19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N22" s="2"/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  <c r="W22" s="2"/>
      <c r="X22" s="2"/>
    </row>
    <row r="23" spans="1:24" x14ac:dyDescent="0.25">
      <c r="A23" s="34">
        <v>43840</v>
      </c>
      <c r="B23" s="4"/>
      <c r="C23" s="5" t="str">
        <f t="shared" si="18"/>
        <v/>
      </c>
      <c r="D23" s="4" t="str">
        <f t="shared" si="5"/>
        <v/>
      </c>
      <c r="E23" s="4">
        <f t="shared" si="16"/>
        <v>80</v>
      </c>
      <c r="F23" s="34" t="e">
        <f t="shared" si="17"/>
        <v>#VALUE!</v>
      </c>
      <c r="G23" s="4" t="str">
        <f t="shared" si="0"/>
        <v/>
      </c>
      <c r="H23" s="5" t="str">
        <f t="shared" si="19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N23" s="2"/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  <c r="W23" s="2"/>
      <c r="X23" s="2"/>
    </row>
    <row r="24" spans="1:24" ht="15.75" customHeight="1" x14ac:dyDescent="0.25">
      <c r="A24" s="34">
        <v>43847</v>
      </c>
      <c r="B24" s="4"/>
      <c r="C24" s="5" t="str">
        <f t="shared" si="18"/>
        <v/>
      </c>
      <c r="D24" s="4" t="str">
        <f t="shared" si="5"/>
        <v/>
      </c>
      <c r="E24" s="4">
        <f t="shared" si="16"/>
        <v>80</v>
      </c>
      <c r="F24" s="34" t="e">
        <f t="shared" si="17"/>
        <v>#VALUE!</v>
      </c>
      <c r="G24" s="39" t="str">
        <f t="shared" si="0"/>
        <v/>
      </c>
      <c r="H24" s="40" t="str">
        <f t="shared" si="19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N24" s="2"/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  <c r="W24" s="2"/>
      <c r="X24" s="2"/>
    </row>
    <row r="25" spans="1:24" x14ac:dyDescent="0.25">
      <c r="A25" s="34">
        <v>43854</v>
      </c>
      <c r="B25" s="4"/>
      <c r="C25" s="5" t="str">
        <f t="shared" si="18"/>
        <v/>
      </c>
      <c r="D25" s="4" t="str">
        <f t="shared" si="5"/>
        <v/>
      </c>
      <c r="E25" s="4">
        <f t="shared" si="16"/>
        <v>80</v>
      </c>
      <c r="F25" s="34" t="e">
        <f t="shared" si="17"/>
        <v>#VALUE!</v>
      </c>
      <c r="G25" s="4" t="str">
        <f t="shared" si="0"/>
        <v/>
      </c>
      <c r="H25" s="5" t="str">
        <f t="shared" si="19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N25" s="2"/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0">ISNUMBER(O25)</f>
        <v>0</v>
      </c>
      <c r="W25" s="2"/>
      <c r="X25" s="2"/>
    </row>
    <row r="26" spans="1:24" x14ac:dyDescent="0.25">
      <c r="A26" s="34">
        <v>43861</v>
      </c>
      <c r="B26" s="4"/>
      <c r="C26" s="5" t="str">
        <f t="shared" si="18"/>
        <v/>
      </c>
      <c r="D26" s="4" t="str">
        <f t="shared" si="5"/>
        <v/>
      </c>
      <c r="E26" s="4">
        <f t="shared" si="16"/>
        <v>80</v>
      </c>
      <c r="F26" s="34" t="e">
        <f t="shared" si="17"/>
        <v>#VALUE!</v>
      </c>
      <c r="G26" s="39" t="str">
        <f t="shared" si="0"/>
        <v/>
      </c>
      <c r="H26" s="40" t="str">
        <f t="shared" si="19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N26" s="2"/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0"/>
        <v>0</v>
      </c>
      <c r="W26" s="2"/>
      <c r="X26" s="2"/>
    </row>
    <row r="27" spans="1:24" ht="14.25" customHeight="1" x14ac:dyDescent="0.25">
      <c r="A27" s="34">
        <v>43868</v>
      </c>
      <c r="B27" s="4"/>
      <c r="C27" s="5" t="str">
        <f t="shared" si="18"/>
        <v/>
      </c>
      <c r="D27" s="4" t="str">
        <f t="shared" si="5"/>
        <v/>
      </c>
      <c r="E27" s="4">
        <f t="shared" si="16"/>
        <v>80</v>
      </c>
      <c r="F27" s="34" t="e">
        <f t="shared" si="17"/>
        <v>#VALUE!</v>
      </c>
      <c r="G27" s="4" t="str">
        <f t="shared" si="0"/>
        <v/>
      </c>
      <c r="H27" s="5" t="str">
        <f t="shared" si="19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N27" s="2"/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0"/>
        <v>0</v>
      </c>
      <c r="W27" s="2"/>
      <c r="X27" s="2"/>
    </row>
    <row r="28" spans="1:24" x14ac:dyDescent="0.25">
      <c r="A28" s="34">
        <v>43875</v>
      </c>
      <c r="B28" s="4"/>
      <c r="C28" s="5" t="str">
        <f t="shared" si="18"/>
        <v/>
      </c>
      <c r="D28" s="4" t="str">
        <f t="shared" si="5"/>
        <v/>
      </c>
      <c r="E28" s="4">
        <f t="shared" si="16"/>
        <v>80</v>
      </c>
      <c r="F28" s="34" t="e">
        <f t="shared" si="17"/>
        <v>#VALUE!</v>
      </c>
      <c r="G28" s="4" t="str">
        <f t="shared" si="0"/>
        <v/>
      </c>
      <c r="H28" s="5" t="str">
        <f t="shared" si="19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N28" s="2"/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0"/>
        <v>0</v>
      </c>
      <c r="W28" s="2"/>
      <c r="X28" s="2"/>
    </row>
    <row r="29" spans="1:24" x14ac:dyDescent="0.25">
      <c r="A29" s="34">
        <v>43882</v>
      </c>
      <c r="B29" s="4"/>
      <c r="C29" s="5" t="str">
        <f t="shared" si="18"/>
        <v/>
      </c>
      <c r="D29" s="4" t="str">
        <f t="shared" si="5"/>
        <v/>
      </c>
      <c r="E29" s="4">
        <f t="shared" si="16"/>
        <v>80</v>
      </c>
      <c r="F29" s="34" t="e">
        <f t="shared" si="17"/>
        <v>#VALUE!</v>
      </c>
      <c r="G29" s="4" t="str">
        <f t="shared" si="0"/>
        <v/>
      </c>
      <c r="H29" s="5" t="str">
        <f t="shared" si="19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N29" s="2"/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0"/>
        <v>0</v>
      </c>
      <c r="W29" s="2"/>
      <c r="X29" s="2"/>
    </row>
    <row r="30" spans="1:24" x14ac:dyDescent="0.25">
      <c r="A30" s="34">
        <v>43889</v>
      </c>
      <c r="B30" s="4"/>
      <c r="C30" s="5" t="str">
        <f t="shared" si="18"/>
        <v/>
      </c>
      <c r="D30" s="4" t="str">
        <f t="shared" si="5"/>
        <v/>
      </c>
      <c r="E30" s="4">
        <f t="shared" si="16"/>
        <v>80</v>
      </c>
      <c r="F30" s="34" t="e">
        <f t="shared" si="17"/>
        <v>#VALUE!</v>
      </c>
      <c r="G30" s="4" t="str">
        <f t="shared" si="0"/>
        <v/>
      </c>
      <c r="H30" s="5" t="str">
        <f t="shared" si="19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N30" s="2"/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1">ISBLANK(O30)</f>
        <v>0</v>
      </c>
      <c r="U30" s="2" t="b">
        <f t="shared" si="13"/>
        <v>0</v>
      </c>
      <c r="V30" s="2" t="b">
        <f t="shared" si="20"/>
        <v>0</v>
      </c>
      <c r="W30" s="2"/>
      <c r="X30" s="2"/>
    </row>
    <row r="31" spans="1:24" x14ac:dyDescent="0.25">
      <c r="A31" s="34">
        <v>43896</v>
      </c>
      <c r="B31" s="4"/>
      <c r="C31" s="5" t="str">
        <f t="shared" si="18"/>
        <v/>
      </c>
      <c r="D31" s="4" t="str">
        <f t="shared" si="5"/>
        <v/>
      </c>
      <c r="E31" s="4">
        <f t="shared" si="16"/>
        <v>80</v>
      </c>
      <c r="F31" s="34" t="e">
        <f t="shared" si="17"/>
        <v>#VALUE!</v>
      </c>
      <c r="G31" s="39" t="str">
        <f t="shared" si="0"/>
        <v/>
      </c>
      <c r="H31" s="40" t="str">
        <f t="shared" si="19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N31" s="2"/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1"/>
        <v>0</v>
      </c>
      <c r="U31" s="2" t="b">
        <f t="shared" si="13"/>
        <v>0</v>
      </c>
      <c r="V31" s="2" t="b">
        <f>ISNUMBER(O31)</f>
        <v>0</v>
      </c>
      <c r="W31" s="2"/>
      <c r="X31" s="2"/>
    </row>
    <row r="32" spans="1:24" x14ac:dyDescent="0.25">
      <c r="A32" s="34">
        <v>43903</v>
      </c>
      <c r="B32" s="4"/>
      <c r="C32" s="5" t="str">
        <f t="shared" si="18"/>
        <v/>
      </c>
      <c r="D32" s="4" t="str">
        <f t="shared" si="5"/>
        <v/>
      </c>
      <c r="E32" s="4">
        <f t="shared" si="16"/>
        <v>80</v>
      </c>
      <c r="F32" s="34" t="e">
        <f t="shared" si="17"/>
        <v>#VALUE!</v>
      </c>
      <c r="G32" s="4" t="str">
        <f t="shared" si="0"/>
        <v/>
      </c>
      <c r="H32" s="5" t="str">
        <f t="shared" si="19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N32" s="2"/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1"/>
        <v>0</v>
      </c>
      <c r="U32" s="2" t="b">
        <f t="shared" si="13"/>
        <v>0</v>
      </c>
      <c r="V32" s="2" t="b">
        <f t="shared" ref="V32:V95" si="22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18"/>
        <v/>
      </c>
      <c r="D33" s="4" t="str">
        <f t="shared" si="5"/>
        <v/>
      </c>
      <c r="E33" s="4">
        <f t="shared" si="16"/>
        <v>80</v>
      </c>
      <c r="F33" s="34" t="e">
        <f t="shared" si="17"/>
        <v>#VALUE!</v>
      </c>
      <c r="G33" s="4" t="str">
        <f t="shared" si="0"/>
        <v/>
      </c>
      <c r="H33" s="5" t="str">
        <f t="shared" si="19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N33" s="2"/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1"/>
        <v>0</v>
      </c>
      <c r="U33" s="2" t="b">
        <f t="shared" si="13"/>
        <v>0</v>
      </c>
      <c r="V33" s="2" t="b">
        <f t="shared" si="22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18"/>
        <v/>
      </c>
      <c r="D34" s="4" t="str">
        <f t="shared" si="5"/>
        <v/>
      </c>
      <c r="E34" s="4">
        <f t="shared" si="16"/>
        <v>80</v>
      </c>
      <c r="F34" s="34" t="e">
        <f t="shared" si="17"/>
        <v>#VALUE!</v>
      </c>
      <c r="G34" s="4" t="str">
        <f t="shared" si="0"/>
        <v/>
      </c>
      <c r="H34" s="5" t="str">
        <f t="shared" si="19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N34" s="2"/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1"/>
        <v>0</v>
      </c>
      <c r="U34" s="2" t="b">
        <f t="shared" si="13"/>
        <v>0</v>
      </c>
      <c r="V34" s="2" t="b">
        <f t="shared" si="22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18"/>
        <v/>
      </c>
      <c r="D35" s="4" t="str">
        <f t="shared" si="5"/>
        <v/>
      </c>
      <c r="E35" s="4">
        <f t="shared" si="16"/>
        <v>80</v>
      </c>
      <c r="F35" s="34" t="e">
        <f t="shared" si="17"/>
        <v>#VALUE!</v>
      </c>
      <c r="G35" s="4" t="str">
        <f t="shared" si="0"/>
        <v/>
      </c>
      <c r="H35" s="5" t="str">
        <f t="shared" si="19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N35" s="2"/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1"/>
        <v>0</v>
      </c>
      <c r="U35" s="2" t="b">
        <f t="shared" si="13"/>
        <v>0</v>
      </c>
      <c r="V35" s="2" t="b">
        <f t="shared" si="22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18"/>
        <v/>
      </c>
      <c r="D36" s="4" t="str">
        <f t="shared" si="5"/>
        <v/>
      </c>
      <c r="E36" s="4">
        <f t="shared" si="16"/>
        <v>80</v>
      </c>
      <c r="F36" s="34" t="e">
        <f t="shared" si="17"/>
        <v>#VALUE!</v>
      </c>
      <c r="G36" s="4" t="str">
        <f t="shared" si="0"/>
        <v/>
      </c>
      <c r="H36" s="5" t="str">
        <f t="shared" si="19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N36" s="2"/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1"/>
        <v>0</v>
      </c>
      <c r="U36" s="2" t="b">
        <f t="shared" si="13"/>
        <v>0</v>
      </c>
      <c r="V36" s="2" t="b">
        <f t="shared" si="22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18"/>
        <v/>
      </c>
      <c r="D37" s="4" t="str">
        <f t="shared" si="5"/>
        <v/>
      </c>
      <c r="E37" s="4">
        <f t="shared" si="16"/>
        <v>80</v>
      </c>
      <c r="F37" s="34" t="e">
        <f t="shared" si="17"/>
        <v>#VALUE!</v>
      </c>
      <c r="G37" s="4" t="str">
        <f t="shared" si="0"/>
        <v/>
      </c>
      <c r="H37" s="5" t="str">
        <f t="shared" si="19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N37" s="2"/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1"/>
        <v>0</v>
      </c>
      <c r="U37" s="2" t="b">
        <f t="shared" si="13"/>
        <v>0</v>
      </c>
      <c r="V37" s="2" t="b">
        <f t="shared" si="22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18"/>
        <v/>
      </c>
      <c r="D38" s="4" t="str">
        <f t="shared" si="5"/>
        <v/>
      </c>
      <c r="E38" s="4">
        <f t="shared" si="16"/>
        <v>80</v>
      </c>
      <c r="F38" s="34" t="e">
        <f t="shared" si="17"/>
        <v>#VALUE!</v>
      </c>
      <c r="G38" s="4" t="str">
        <f t="shared" si="0"/>
        <v/>
      </c>
      <c r="H38" s="5" t="str">
        <f t="shared" si="19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N38" s="2"/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1"/>
        <v>0</v>
      </c>
      <c r="U38" s="2" t="b">
        <f t="shared" si="13"/>
        <v>0</v>
      </c>
      <c r="V38" s="2" t="b">
        <f t="shared" si="22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18"/>
        <v/>
      </c>
      <c r="D39" s="4" t="str">
        <f t="shared" si="5"/>
        <v/>
      </c>
      <c r="E39" s="4">
        <f t="shared" si="16"/>
        <v>80</v>
      </c>
      <c r="F39" s="34" t="e">
        <f t="shared" si="17"/>
        <v>#VALUE!</v>
      </c>
      <c r="G39" s="4" t="str">
        <f t="shared" si="0"/>
        <v/>
      </c>
      <c r="H39" s="5" t="str">
        <f t="shared" si="19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N39" s="2"/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1"/>
        <v>0</v>
      </c>
      <c r="U39" s="2" t="b">
        <f t="shared" si="13"/>
        <v>0</v>
      </c>
      <c r="V39" s="2" t="b">
        <f t="shared" si="22"/>
        <v>0</v>
      </c>
      <c r="W39" s="2"/>
      <c r="X39" s="2"/>
    </row>
    <row r="40" spans="1:24" x14ac:dyDescent="0.25">
      <c r="A40" s="34">
        <v>43959</v>
      </c>
      <c r="B40" s="4"/>
      <c r="C40" s="5" t="str">
        <f t="shared" si="18"/>
        <v/>
      </c>
      <c r="D40" s="4" t="str">
        <f t="shared" si="5"/>
        <v/>
      </c>
      <c r="E40" s="4">
        <f t="shared" si="16"/>
        <v>80</v>
      </c>
      <c r="F40" s="34" t="e">
        <f t="shared" si="17"/>
        <v>#VALUE!</v>
      </c>
      <c r="G40" s="4" t="str">
        <f t="shared" si="0"/>
        <v/>
      </c>
      <c r="H40" s="5" t="str">
        <f t="shared" si="19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N40" s="2"/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1"/>
        <v>0</v>
      </c>
      <c r="U40" s="2" t="b">
        <f t="shared" si="13"/>
        <v>0</v>
      </c>
      <c r="V40" s="2" t="b">
        <f t="shared" si="22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18"/>
        <v/>
      </c>
      <c r="D41" s="4" t="str">
        <f t="shared" si="5"/>
        <v/>
      </c>
      <c r="E41" s="4">
        <f t="shared" si="16"/>
        <v>80</v>
      </c>
      <c r="F41" s="34" t="e">
        <f t="shared" si="17"/>
        <v>#VALUE!</v>
      </c>
      <c r="G41" s="4" t="str">
        <f t="shared" si="0"/>
        <v/>
      </c>
      <c r="H41" s="5" t="str">
        <f t="shared" si="19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N41" s="2"/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1"/>
        <v>0</v>
      </c>
      <c r="U41" s="2" t="b">
        <f t="shared" si="13"/>
        <v>0</v>
      </c>
      <c r="V41" s="2" t="b">
        <f t="shared" si="22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18"/>
        <v/>
      </c>
      <c r="D42" s="4" t="str">
        <f t="shared" si="5"/>
        <v/>
      </c>
      <c r="E42" s="4">
        <f t="shared" si="16"/>
        <v>80</v>
      </c>
      <c r="F42" s="34" t="e">
        <f t="shared" si="17"/>
        <v>#VALUE!</v>
      </c>
      <c r="G42" s="4" t="str">
        <f t="shared" si="0"/>
        <v/>
      </c>
      <c r="H42" s="5" t="str">
        <f t="shared" si="19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N42" s="2"/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1"/>
        <v>0</v>
      </c>
      <c r="U42" s="2" t="b">
        <f t="shared" si="13"/>
        <v>0</v>
      </c>
      <c r="V42" s="2" t="b">
        <f t="shared" si="22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18"/>
        <v/>
      </c>
      <c r="D43" s="4" t="str">
        <f t="shared" si="5"/>
        <v/>
      </c>
      <c r="E43" s="4">
        <f t="shared" si="16"/>
        <v>80</v>
      </c>
      <c r="F43" s="34" t="e">
        <f t="shared" si="17"/>
        <v>#VALUE!</v>
      </c>
      <c r="G43" s="4" t="str">
        <f t="shared" si="0"/>
        <v/>
      </c>
      <c r="H43" s="5" t="str">
        <f t="shared" si="19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N43" s="2"/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1"/>
        <v>0</v>
      </c>
      <c r="U43" s="2" t="b">
        <f t="shared" si="13"/>
        <v>0</v>
      </c>
      <c r="V43" s="2" t="b">
        <f t="shared" si="22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18"/>
        <v/>
      </c>
      <c r="D44" s="4" t="str">
        <f t="shared" si="5"/>
        <v/>
      </c>
      <c r="E44" s="4">
        <f t="shared" si="16"/>
        <v>80</v>
      </c>
      <c r="F44" s="34" t="e">
        <f t="shared" si="17"/>
        <v>#VALUE!</v>
      </c>
      <c r="G44" s="4" t="str">
        <f t="shared" si="0"/>
        <v/>
      </c>
      <c r="H44" s="5" t="str">
        <f t="shared" si="19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N44" s="2"/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1"/>
        <v>0</v>
      </c>
      <c r="U44" s="2" t="b">
        <f t="shared" si="13"/>
        <v>0</v>
      </c>
      <c r="V44" s="2" t="b">
        <f t="shared" si="22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18"/>
        <v/>
      </c>
      <c r="D45" s="4" t="str">
        <f t="shared" si="5"/>
        <v/>
      </c>
      <c r="E45" s="4">
        <f t="shared" si="16"/>
        <v>80</v>
      </c>
      <c r="F45" s="34" t="e">
        <f t="shared" si="17"/>
        <v>#VALUE!</v>
      </c>
      <c r="G45" s="4" t="str">
        <f t="shared" si="0"/>
        <v/>
      </c>
      <c r="H45" s="5" t="str">
        <f t="shared" si="19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N45" s="2"/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1"/>
        <v>0</v>
      </c>
      <c r="U45" s="2" t="b">
        <f t="shared" si="13"/>
        <v>0</v>
      </c>
      <c r="V45" s="2" t="b">
        <f t="shared" si="22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18"/>
        <v/>
      </c>
      <c r="D46" s="4" t="str">
        <f t="shared" si="5"/>
        <v/>
      </c>
      <c r="E46" s="4">
        <f t="shared" si="16"/>
        <v>80</v>
      </c>
      <c r="F46" s="34" t="e">
        <f t="shared" si="17"/>
        <v>#VALUE!</v>
      </c>
      <c r="G46" s="4" t="str">
        <f t="shared" si="0"/>
        <v/>
      </c>
      <c r="H46" s="5" t="str">
        <f t="shared" si="19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N46" s="2"/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1"/>
        <v>0</v>
      </c>
      <c r="U46" s="2" t="b">
        <f t="shared" si="13"/>
        <v>0</v>
      </c>
      <c r="V46" s="2" t="b">
        <f t="shared" si="22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18"/>
        <v/>
      </c>
      <c r="D47" s="4" t="str">
        <f t="shared" si="5"/>
        <v/>
      </c>
      <c r="E47" s="4">
        <f t="shared" si="16"/>
        <v>80</v>
      </c>
      <c r="F47" s="34" t="e">
        <f t="shared" si="17"/>
        <v>#VALUE!</v>
      </c>
      <c r="G47" s="4" t="str">
        <f t="shared" si="0"/>
        <v/>
      </c>
      <c r="H47" s="5" t="str">
        <f t="shared" si="19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N47" s="2"/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1"/>
        <v>0</v>
      </c>
      <c r="U47" s="2" t="b">
        <f t="shared" si="13"/>
        <v>0</v>
      </c>
      <c r="V47" s="2" t="b">
        <f t="shared" si="22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18"/>
        <v/>
      </c>
      <c r="D48" s="4" t="str">
        <f t="shared" si="5"/>
        <v/>
      </c>
      <c r="E48" s="4">
        <f t="shared" si="16"/>
        <v>80</v>
      </c>
      <c r="F48" s="34" t="e">
        <f t="shared" si="17"/>
        <v>#VALUE!</v>
      </c>
      <c r="G48" s="4" t="str">
        <f t="shared" si="0"/>
        <v/>
      </c>
      <c r="H48" s="5" t="str">
        <f t="shared" si="19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N48" s="2"/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1"/>
        <v>0</v>
      </c>
      <c r="U48" s="2" t="b">
        <f t="shared" si="13"/>
        <v>0</v>
      </c>
      <c r="V48" s="2" t="b">
        <f t="shared" si="22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18"/>
        <v/>
      </c>
      <c r="D49" s="4" t="str">
        <f t="shared" si="5"/>
        <v/>
      </c>
      <c r="E49" s="4">
        <f t="shared" si="16"/>
        <v>80</v>
      </c>
      <c r="F49" s="34" t="e">
        <f t="shared" si="17"/>
        <v>#VALUE!</v>
      </c>
      <c r="G49" s="4" t="str">
        <f t="shared" si="0"/>
        <v/>
      </c>
      <c r="H49" s="5" t="str">
        <f t="shared" si="19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N49" s="2"/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1"/>
        <v>0</v>
      </c>
      <c r="U49" s="2" t="b">
        <f t="shared" si="13"/>
        <v>0</v>
      </c>
      <c r="V49" s="2" t="b">
        <f t="shared" si="22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18"/>
        <v/>
      </c>
      <c r="D50" s="4" t="str">
        <f t="shared" si="5"/>
        <v/>
      </c>
      <c r="E50" s="4">
        <f t="shared" si="16"/>
        <v>80</v>
      </c>
      <c r="F50" s="34" t="e">
        <f t="shared" si="17"/>
        <v>#VALUE!</v>
      </c>
      <c r="G50" s="4" t="str">
        <f t="shared" si="0"/>
        <v/>
      </c>
      <c r="H50" s="5" t="str">
        <f t="shared" si="19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N50" s="2"/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1"/>
        <v>0</v>
      </c>
      <c r="U50" s="2" t="b">
        <f t="shared" si="13"/>
        <v>0</v>
      </c>
      <c r="V50" s="2" t="b">
        <f t="shared" si="22"/>
        <v>0</v>
      </c>
      <c r="W50" s="2"/>
      <c r="X50" s="2"/>
    </row>
    <row r="51" spans="1:24" x14ac:dyDescent="0.25">
      <c r="A51" s="34">
        <v>44036</v>
      </c>
      <c r="B51" s="4"/>
      <c r="C51" s="5" t="str">
        <f t="shared" si="18"/>
        <v/>
      </c>
      <c r="D51" s="4" t="str">
        <f t="shared" si="5"/>
        <v/>
      </c>
      <c r="E51" s="4">
        <f t="shared" si="16"/>
        <v>80</v>
      </c>
      <c r="F51" s="34" t="e">
        <f t="shared" si="17"/>
        <v>#VALUE!</v>
      </c>
      <c r="G51" s="4" t="str">
        <f t="shared" si="0"/>
        <v/>
      </c>
      <c r="H51" s="5" t="str">
        <f t="shared" si="19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N51" s="2"/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1"/>
        <v>0</v>
      </c>
      <c r="U51" s="2" t="b">
        <f t="shared" si="13"/>
        <v>0</v>
      </c>
      <c r="V51" s="2" t="b">
        <f t="shared" si="22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18"/>
        <v/>
      </c>
      <c r="D52" s="4" t="str">
        <f t="shared" si="5"/>
        <v/>
      </c>
      <c r="E52" s="4">
        <f t="shared" si="16"/>
        <v>80</v>
      </c>
      <c r="F52" s="34" t="e">
        <f t="shared" si="17"/>
        <v>#VALUE!</v>
      </c>
      <c r="G52" s="4" t="str">
        <f t="shared" si="0"/>
        <v/>
      </c>
      <c r="H52" s="5" t="str">
        <f t="shared" si="19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N52" s="2"/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1"/>
        <v>0</v>
      </c>
      <c r="U52" s="2" t="b">
        <f t="shared" si="13"/>
        <v>0</v>
      </c>
      <c r="V52" s="2" t="b">
        <f t="shared" si="22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18"/>
        <v/>
      </c>
      <c r="D53" s="4" t="str">
        <f t="shared" si="5"/>
        <v/>
      </c>
      <c r="E53" s="4">
        <f t="shared" si="16"/>
        <v>80</v>
      </c>
      <c r="F53" s="34" t="e">
        <f t="shared" si="17"/>
        <v>#VALUE!</v>
      </c>
      <c r="G53" s="4" t="str">
        <f t="shared" si="0"/>
        <v/>
      </c>
      <c r="H53" s="5" t="str">
        <f t="shared" si="19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N53" s="2"/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1"/>
        <v>0</v>
      </c>
      <c r="U53" s="2" t="b">
        <f t="shared" si="13"/>
        <v>0</v>
      </c>
      <c r="V53" s="2" t="b">
        <f t="shared" si="22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18"/>
        <v/>
      </c>
      <c r="D54" s="4" t="str">
        <f t="shared" si="5"/>
        <v/>
      </c>
      <c r="E54" s="4">
        <f t="shared" si="16"/>
        <v>80</v>
      </c>
      <c r="F54" s="34" t="e">
        <f t="shared" si="17"/>
        <v>#VALUE!</v>
      </c>
      <c r="G54" s="4" t="str">
        <f t="shared" si="0"/>
        <v/>
      </c>
      <c r="H54" s="5" t="str">
        <f t="shared" si="19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N54" s="2"/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1"/>
        <v>0</v>
      </c>
      <c r="U54" s="2" t="b">
        <f t="shared" si="13"/>
        <v>0</v>
      </c>
      <c r="V54" s="2" t="b">
        <f t="shared" si="22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18"/>
        <v/>
      </c>
      <c r="D55" s="4" t="str">
        <f t="shared" si="5"/>
        <v/>
      </c>
      <c r="E55" s="4">
        <f t="shared" si="16"/>
        <v>80</v>
      </c>
      <c r="F55" s="34" t="e">
        <f t="shared" si="17"/>
        <v>#VALUE!</v>
      </c>
      <c r="G55" s="4" t="str">
        <f t="shared" si="0"/>
        <v/>
      </c>
      <c r="H55" s="5" t="str">
        <f t="shared" si="19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N55" s="2"/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1"/>
        <v>0</v>
      </c>
      <c r="U55" s="2" t="b">
        <f t="shared" si="13"/>
        <v>0</v>
      </c>
      <c r="V55" s="2" t="b">
        <f t="shared" si="22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18"/>
        <v/>
      </c>
      <c r="D56" s="4" t="str">
        <f t="shared" si="5"/>
        <v/>
      </c>
      <c r="E56" s="4">
        <f t="shared" si="16"/>
        <v>80</v>
      </c>
      <c r="F56" s="34" t="e">
        <f t="shared" si="17"/>
        <v>#VALUE!</v>
      </c>
      <c r="G56" s="4" t="str">
        <f t="shared" si="0"/>
        <v/>
      </c>
      <c r="H56" s="5" t="str">
        <f t="shared" si="19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N56" s="2"/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1"/>
        <v>0</v>
      </c>
      <c r="U56" s="2" t="b">
        <f t="shared" si="13"/>
        <v>0</v>
      </c>
      <c r="V56" s="2" t="b">
        <f t="shared" si="22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18"/>
        <v/>
      </c>
      <c r="D57" s="4" t="str">
        <f t="shared" si="5"/>
        <v/>
      </c>
      <c r="E57" s="4">
        <f t="shared" si="16"/>
        <v>80</v>
      </c>
      <c r="F57" s="34" t="e">
        <f t="shared" si="17"/>
        <v>#VALUE!</v>
      </c>
      <c r="G57" s="4" t="str">
        <f t="shared" si="0"/>
        <v/>
      </c>
      <c r="H57" s="5" t="str">
        <f t="shared" si="19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N57" s="2"/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1"/>
        <v>0</v>
      </c>
      <c r="U57" s="2" t="b">
        <f t="shared" si="13"/>
        <v>0</v>
      </c>
      <c r="V57" s="2" t="b">
        <f t="shared" si="22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18"/>
        <v/>
      </c>
      <c r="D58" s="4" t="str">
        <f t="shared" si="5"/>
        <v/>
      </c>
      <c r="E58" s="4">
        <f t="shared" si="16"/>
        <v>80</v>
      </c>
      <c r="F58" s="34" t="e">
        <f t="shared" si="17"/>
        <v>#VALUE!</v>
      </c>
      <c r="G58" s="4" t="str">
        <f t="shared" si="0"/>
        <v/>
      </c>
      <c r="H58" s="5" t="str">
        <f t="shared" si="19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N58" s="2"/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1"/>
        <v>0</v>
      </c>
      <c r="U58" s="2" t="b">
        <f t="shared" si="13"/>
        <v>0</v>
      </c>
      <c r="V58" s="2" t="b">
        <f t="shared" si="22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18"/>
        <v/>
      </c>
      <c r="D59" s="4" t="str">
        <f t="shared" si="5"/>
        <v/>
      </c>
      <c r="E59" s="4">
        <f t="shared" si="16"/>
        <v>80</v>
      </c>
      <c r="F59" s="34" t="e">
        <f t="shared" si="17"/>
        <v>#VALUE!</v>
      </c>
      <c r="G59" s="4" t="str">
        <f t="shared" si="0"/>
        <v/>
      </c>
      <c r="H59" s="5" t="str">
        <f t="shared" si="19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N59" s="2"/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1"/>
        <v>0</v>
      </c>
      <c r="U59" s="2" t="b">
        <f t="shared" si="13"/>
        <v>0</v>
      </c>
      <c r="V59" s="2" t="b">
        <f t="shared" si="22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18"/>
        <v/>
      </c>
      <c r="D60" s="4" t="str">
        <f t="shared" si="5"/>
        <v/>
      </c>
      <c r="E60" s="4">
        <f t="shared" si="16"/>
        <v>80</v>
      </c>
      <c r="F60" s="34" t="e">
        <f t="shared" si="17"/>
        <v>#VALUE!</v>
      </c>
      <c r="G60" s="4" t="str">
        <f t="shared" si="0"/>
        <v/>
      </c>
      <c r="H60" s="5" t="str">
        <f t="shared" si="19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N60" s="2"/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1"/>
        <v>0</v>
      </c>
      <c r="U60" s="2" t="b">
        <f t="shared" si="13"/>
        <v>0</v>
      </c>
      <c r="V60" s="2" t="b">
        <f t="shared" si="22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18"/>
        <v/>
      </c>
      <c r="D61" s="4" t="str">
        <f t="shared" si="5"/>
        <v/>
      </c>
      <c r="E61" s="4">
        <f t="shared" si="16"/>
        <v>80</v>
      </c>
      <c r="F61" s="34" t="e">
        <f t="shared" si="17"/>
        <v>#VALUE!</v>
      </c>
      <c r="G61" s="4" t="str">
        <f t="shared" si="0"/>
        <v/>
      </c>
      <c r="H61" s="5" t="str">
        <f t="shared" si="19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N61" s="2"/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1"/>
        <v>0</v>
      </c>
      <c r="U61" s="2" t="b">
        <f t="shared" si="13"/>
        <v>0</v>
      </c>
      <c r="V61" s="2" t="b">
        <f t="shared" si="22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18"/>
        <v/>
      </c>
      <c r="D62" s="4" t="str">
        <f t="shared" si="5"/>
        <v/>
      </c>
      <c r="E62" s="4">
        <f t="shared" si="16"/>
        <v>80</v>
      </c>
      <c r="F62" s="34" t="e">
        <f t="shared" si="17"/>
        <v>#VALUE!</v>
      </c>
      <c r="G62" s="4" t="str">
        <f t="shared" si="0"/>
        <v/>
      </c>
      <c r="H62" s="5" t="str">
        <f t="shared" si="19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N62" s="2"/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1"/>
        <v>0</v>
      </c>
      <c r="U62" s="2" t="b">
        <f t="shared" si="13"/>
        <v>0</v>
      </c>
      <c r="V62" s="2" t="b">
        <f t="shared" si="22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18"/>
        <v/>
      </c>
      <c r="D63" s="4" t="str">
        <f t="shared" si="5"/>
        <v/>
      </c>
      <c r="E63" s="4">
        <f t="shared" si="16"/>
        <v>80</v>
      </c>
      <c r="F63" s="34" t="e">
        <f t="shared" si="17"/>
        <v>#VALUE!</v>
      </c>
      <c r="G63" s="4" t="str">
        <f t="shared" si="0"/>
        <v/>
      </c>
      <c r="H63" s="5" t="str">
        <f t="shared" si="19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N63" s="2"/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1"/>
        <v>0</v>
      </c>
      <c r="U63" s="2" t="b">
        <f t="shared" si="13"/>
        <v>0</v>
      </c>
      <c r="V63" s="2" t="b">
        <f t="shared" si="22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18"/>
        <v/>
      </c>
      <c r="D64" s="4" t="str">
        <f t="shared" si="5"/>
        <v/>
      </c>
      <c r="E64" s="4">
        <f t="shared" si="16"/>
        <v>80</v>
      </c>
      <c r="F64" s="34" t="e">
        <f t="shared" si="17"/>
        <v>#VALUE!</v>
      </c>
      <c r="G64" s="4" t="str">
        <f t="shared" si="0"/>
        <v/>
      </c>
      <c r="H64" s="5" t="str">
        <f t="shared" si="19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N64" s="2"/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1"/>
        <v>0</v>
      </c>
      <c r="U64" s="2" t="b">
        <f t="shared" si="13"/>
        <v>0</v>
      </c>
      <c r="V64" s="2" t="b">
        <f t="shared" si="22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18"/>
        <v/>
      </c>
      <c r="D65" s="4" t="str">
        <f t="shared" si="5"/>
        <v/>
      </c>
      <c r="E65" s="4">
        <f t="shared" si="16"/>
        <v>80</v>
      </c>
      <c r="F65" s="34" t="e">
        <f t="shared" si="17"/>
        <v>#VALUE!</v>
      </c>
      <c r="G65" s="4" t="str">
        <f t="shared" si="0"/>
        <v/>
      </c>
      <c r="H65" s="5" t="str">
        <f t="shared" si="19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N65" s="2"/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1"/>
        <v>0</v>
      </c>
      <c r="U65" s="2" t="b">
        <f t="shared" si="13"/>
        <v>0</v>
      </c>
      <c r="V65" s="2" t="b">
        <f t="shared" si="22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18"/>
        <v/>
      </c>
      <c r="D66" s="4" t="str">
        <f t="shared" si="5"/>
        <v/>
      </c>
      <c r="E66" s="4">
        <f t="shared" si="16"/>
        <v>80</v>
      </c>
      <c r="F66" s="34" t="e">
        <f t="shared" si="17"/>
        <v>#VALUE!</v>
      </c>
      <c r="G66" s="4" t="str">
        <f t="shared" si="0"/>
        <v/>
      </c>
      <c r="H66" s="5" t="str">
        <f t="shared" si="19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N66" s="2"/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1"/>
        <v>0</v>
      </c>
      <c r="U66" s="2" t="b">
        <f t="shared" si="13"/>
        <v>0</v>
      </c>
      <c r="V66" s="2" t="b">
        <f t="shared" si="22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18"/>
        <v/>
      </c>
      <c r="D67" s="4" t="str">
        <f t="shared" si="5"/>
        <v/>
      </c>
      <c r="E67" s="4">
        <f t="shared" si="16"/>
        <v>80</v>
      </c>
      <c r="F67" s="34" t="e">
        <f t="shared" si="17"/>
        <v>#VALUE!</v>
      </c>
      <c r="G67" s="4" t="str">
        <f t="shared" si="0"/>
        <v/>
      </c>
      <c r="H67" s="5" t="str">
        <f t="shared" si="19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N67" s="2"/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1"/>
        <v>0</v>
      </c>
      <c r="U67" s="2" t="b">
        <f t="shared" si="13"/>
        <v>0</v>
      </c>
      <c r="V67" s="2" t="b">
        <f t="shared" si="22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18"/>
        <v/>
      </c>
      <c r="D68" s="4" t="str">
        <f t="shared" si="5"/>
        <v/>
      </c>
      <c r="E68" s="4">
        <f t="shared" si="16"/>
        <v>80</v>
      </c>
      <c r="F68" s="34" t="e">
        <f t="shared" si="17"/>
        <v>#VALUE!</v>
      </c>
      <c r="G68" s="4" t="str">
        <f t="shared" si="0"/>
        <v/>
      </c>
      <c r="H68" s="5" t="str">
        <f t="shared" si="19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N68" s="2"/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1"/>
        <v>0</v>
      </c>
      <c r="U68" s="2" t="b">
        <f t="shared" si="13"/>
        <v>0</v>
      </c>
      <c r="V68" s="2" t="b">
        <f t="shared" si="22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18"/>
        <v/>
      </c>
      <c r="D69" s="4" t="str">
        <f t="shared" si="5"/>
        <v/>
      </c>
      <c r="E69" s="4">
        <f t="shared" si="16"/>
        <v>80</v>
      </c>
      <c r="F69" s="34" t="e">
        <f t="shared" si="17"/>
        <v>#VALUE!</v>
      </c>
      <c r="G69" s="4" t="str">
        <f t="shared" ref="G69:G115" si="23">IF(I69="","",I69)</f>
        <v/>
      </c>
      <c r="H69" s="5" t="str">
        <f t="shared" si="19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N69" s="2"/>
      <c r="O69" s="34" t="e">
        <f t="shared" ref="O69:O115" si="24">IF(F69&lt;&gt; " ",DATEVALUE(F69)," ")</f>
        <v>#VALUE!</v>
      </c>
      <c r="P69" s="2" t="e">
        <f t="shared" ref="P69:P115" si="25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1"/>
        <v>0</v>
      </c>
      <c r="U69" s="2" t="b">
        <f t="shared" si="13"/>
        <v>0</v>
      </c>
      <c r="V69" s="2" t="b">
        <f t="shared" si="22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18"/>
        <v/>
      </c>
      <c r="D70" s="4" t="str">
        <f t="shared" ref="D70:D113" si="26">IF(I70="","",B70+D69)</f>
        <v/>
      </c>
      <c r="E70" s="4">
        <f t="shared" si="16"/>
        <v>80</v>
      </c>
      <c r="F70" s="34" t="e">
        <f t="shared" si="17"/>
        <v>#VALUE!</v>
      </c>
      <c r="G70" s="4" t="str">
        <f t="shared" si="23"/>
        <v/>
      </c>
      <c r="H70" s="5" t="str">
        <f t="shared" si="19"/>
        <v/>
      </c>
      <c r="I70" s="4"/>
      <c r="J70" s="2" t="str">
        <f t="shared" ref="J70:J113" si="27">(IF(I70="","",I70+J69))</f>
        <v/>
      </c>
      <c r="K70" s="24" t="e">
        <f t="shared" ref="K70:K115" si="28">IF(I70&lt;&gt;"",IF(D71="",J70,""),K69+$G$2)</f>
        <v>#VALUE!</v>
      </c>
      <c r="L70" s="24" t="e">
        <f t="shared" ref="L70:L115" si="29">IF(I70&lt;&gt;"",IF(D71="",J70,""),L69+$G$2+$L$2)</f>
        <v>#VALUE!</v>
      </c>
      <c r="M70" s="24" t="e">
        <f t="shared" ref="M70:M115" si="30">IF(J70&lt;&gt;"",IF(D71="",K70,""),M69+$G$2-$L$2)</f>
        <v>#VALUE!</v>
      </c>
      <c r="N70" s="2"/>
      <c r="O70" s="34" t="e">
        <f t="shared" si="24"/>
        <v>#VALUE!</v>
      </c>
      <c r="P70" s="2" t="e">
        <f t="shared" si="25"/>
        <v>#VALUE!</v>
      </c>
      <c r="Q70" s="2" t="e">
        <f t="shared" ref="Q70:Q113" si="31">IF(K70&gt;E70,"Y","N")</f>
        <v>#VALUE!</v>
      </c>
      <c r="R70" s="2" t="e">
        <f t="shared" ref="R70:R113" si="32">IF(M70&gt;E70,"Y","N")</f>
        <v>#VALUE!</v>
      </c>
      <c r="S70" s="2" t="str">
        <f t="shared" ref="S70:S113" si="33">IF(AND(ISBLANK(I71),NOT(ISBLANK(I70))),"Y","N")</f>
        <v>N</v>
      </c>
      <c r="T70" s="2" t="b">
        <f t="shared" si="21"/>
        <v>0</v>
      </c>
      <c r="U70" s="2" t="b">
        <f t="shared" ref="U70:U113" si="34">ISTEXT(O70)</f>
        <v>0</v>
      </c>
      <c r="V70" s="2" t="b">
        <f t="shared" si="22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18"/>
        <v/>
      </c>
      <c r="D71" s="4" t="str">
        <f t="shared" si="26"/>
        <v/>
      </c>
      <c r="E71" s="4">
        <f t="shared" ref="E71:E113" si="35">IF(I71&lt;&gt;"",IF(D72="",D71+$C$2,""),E70+$C$2)</f>
        <v>80</v>
      </c>
      <c r="F71" s="34" t="e">
        <f t="shared" ref="F71:F113" si="36">IF(OR(AND(S71="Y",S72="N"),AND(P71="Y",P70="N"),AND(Q71="Y",Q70="N"),AND(R71="Y",R70="N")),TEXT(A71,"mm/dd/yyyyy")," ")</f>
        <v>#VALUE!</v>
      </c>
      <c r="G71" s="4" t="str">
        <f t="shared" si="23"/>
        <v/>
      </c>
      <c r="H71" s="5" t="str">
        <f t="shared" si="19"/>
        <v/>
      </c>
      <c r="I71" s="4"/>
      <c r="J71" s="2" t="str">
        <f t="shared" si="27"/>
        <v/>
      </c>
      <c r="K71" s="24" t="e">
        <f t="shared" si="28"/>
        <v>#VALUE!</v>
      </c>
      <c r="L71" s="24" t="e">
        <f t="shared" si="29"/>
        <v>#VALUE!</v>
      </c>
      <c r="M71" s="24" t="e">
        <f t="shared" si="30"/>
        <v>#VALUE!</v>
      </c>
      <c r="N71" s="2"/>
      <c r="O71" s="34" t="e">
        <f t="shared" si="24"/>
        <v>#VALUE!</v>
      </c>
      <c r="P71" s="2" t="e">
        <f t="shared" si="25"/>
        <v>#VALUE!</v>
      </c>
      <c r="Q71" s="2" t="e">
        <f t="shared" si="31"/>
        <v>#VALUE!</v>
      </c>
      <c r="R71" s="2" t="e">
        <f t="shared" si="32"/>
        <v>#VALUE!</v>
      </c>
      <c r="S71" s="2" t="str">
        <f t="shared" si="33"/>
        <v>N</v>
      </c>
      <c r="T71" s="2" t="b">
        <f t="shared" si="21"/>
        <v>0</v>
      </c>
      <c r="U71" s="2" t="b">
        <f t="shared" si="34"/>
        <v>0</v>
      </c>
      <c r="V71" s="2" t="b">
        <f t="shared" si="22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18"/>
        <v/>
      </c>
      <c r="D72" s="4" t="str">
        <f t="shared" si="26"/>
        <v/>
      </c>
      <c r="E72" s="4">
        <f t="shared" si="35"/>
        <v>80</v>
      </c>
      <c r="F72" s="34" t="e">
        <f t="shared" si="36"/>
        <v>#VALUE!</v>
      </c>
      <c r="G72" s="4" t="str">
        <f t="shared" si="23"/>
        <v/>
      </c>
      <c r="H72" s="5" t="str">
        <f t="shared" si="19"/>
        <v/>
      </c>
      <c r="I72" s="4"/>
      <c r="J72" s="2" t="str">
        <f t="shared" si="27"/>
        <v/>
      </c>
      <c r="K72" s="24" t="e">
        <f t="shared" si="28"/>
        <v>#VALUE!</v>
      </c>
      <c r="L72" s="24" t="e">
        <f t="shared" si="29"/>
        <v>#VALUE!</v>
      </c>
      <c r="M72" s="24" t="e">
        <f t="shared" si="30"/>
        <v>#VALUE!</v>
      </c>
      <c r="N72" s="2"/>
      <c r="O72" s="34" t="e">
        <f t="shared" si="24"/>
        <v>#VALUE!</v>
      </c>
      <c r="P72" s="2" t="e">
        <f t="shared" si="25"/>
        <v>#VALUE!</v>
      </c>
      <c r="Q72" s="2" t="e">
        <f t="shared" si="31"/>
        <v>#VALUE!</v>
      </c>
      <c r="R72" s="2" t="e">
        <f t="shared" si="32"/>
        <v>#VALUE!</v>
      </c>
      <c r="S72" s="2" t="str">
        <f t="shared" si="33"/>
        <v>N</v>
      </c>
      <c r="T72" s="2" t="b">
        <f t="shared" si="21"/>
        <v>0</v>
      </c>
      <c r="U72" s="2" t="b">
        <f t="shared" si="34"/>
        <v>0</v>
      </c>
      <c r="V72" s="2" t="b">
        <f t="shared" si="22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37">IF(B73="","",ROUND(AVERAGE(B70:B73),2))</f>
        <v/>
      </c>
      <c r="D73" s="4" t="str">
        <f t="shared" si="26"/>
        <v/>
      </c>
      <c r="E73" s="4">
        <f t="shared" si="35"/>
        <v>80</v>
      </c>
      <c r="F73" s="34" t="e">
        <f t="shared" si="36"/>
        <v>#VALUE!</v>
      </c>
      <c r="G73" s="4" t="str">
        <f t="shared" si="23"/>
        <v/>
      </c>
      <c r="H73" s="5" t="str">
        <f t="shared" ref="H73:H113" si="38">IF(I73="","",ROUND(AVERAGE(G70:G73),2))</f>
        <v/>
      </c>
      <c r="I73" s="4"/>
      <c r="J73" s="2" t="str">
        <f t="shared" si="27"/>
        <v/>
      </c>
      <c r="K73" s="24" t="e">
        <f t="shared" si="28"/>
        <v>#VALUE!</v>
      </c>
      <c r="L73" s="24" t="e">
        <f t="shared" si="29"/>
        <v>#VALUE!</v>
      </c>
      <c r="M73" s="24" t="e">
        <f t="shared" si="30"/>
        <v>#VALUE!</v>
      </c>
      <c r="N73" s="2"/>
      <c r="O73" s="34" t="e">
        <f t="shared" si="24"/>
        <v>#VALUE!</v>
      </c>
      <c r="P73" s="2" t="e">
        <f t="shared" si="25"/>
        <v>#VALUE!</v>
      </c>
      <c r="Q73" s="2" t="e">
        <f t="shared" si="31"/>
        <v>#VALUE!</v>
      </c>
      <c r="R73" s="2" t="e">
        <f t="shared" si="32"/>
        <v>#VALUE!</v>
      </c>
      <c r="S73" s="2" t="str">
        <f t="shared" si="33"/>
        <v>N</v>
      </c>
      <c r="T73" s="2" t="b">
        <f t="shared" si="21"/>
        <v>0</v>
      </c>
      <c r="U73" s="2" t="b">
        <f t="shared" si="34"/>
        <v>0</v>
      </c>
      <c r="V73" s="2" t="b">
        <f t="shared" si="22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37"/>
        <v/>
      </c>
      <c r="D74" s="4" t="str">
        <f t="shared" si="26"/>
        <v/>
      </c>
      <c r="E74" s="4">
        <f t="shared" si="35"/>
        <v>80</v>
      </c>
      <c r="F74" s="34" t="e">
        <f t="shared" si="36"/>
        <v>#VALUE!</v>
      </c>
      <c r="G74" s="4" t="str">
        <f t="shared" si="23"/>
        <v/>
      </c>
      <c r="H74" s="5" t="str">
        <f t="shared" si="38"/>
        <v/>
      </c>
      <c r="I74" s="4"/>
      <c r="J74" s="2" t="str">
        <f t="shared" si="27"/>
        <v/>
      </c>
      <c r="K74" s="24" t="e">
        <f t="shared" si="28"/>
        <v>#VALUE!</v>
      </c>
      <c r="L74" s="24" t="e">
        <f t="shared" si="29"/>
        <v>#VALUE!</v>
      </c>
      <c r="M74" s="24" t="e">
        <f t="shared" si="30"/>
        <v>#VALUE!</v>
      </c>
      <c r="N74" s="2"/>
      <c r="O74" s="34" t="e">
        <f t="shared" si="24"/>
        <v>#VALUE!</v>
      </c>
      <c r="P74" s="2" t="e">
        <f t="shared" si="25"/>
        <v>#VALUE!</v>
      </c>
      <c r="Q74" s="2" t="e">
        <f t="shared" si="31"/>
        <v>#VALUE!</v>
      </c>
      <c r="R74" s="2" t="e">
        <f t="shared" si="32"/>
        <v>#VALUE!</v>
      </c>
      <c r="S74" s="2" t="str">
        <f t="shared" si="33"/>
        <v>N</v>
      </c>
      <c r="T74" s="2" t="b">
        <f t="shared" si="21"/>
        <v>0</v>
      </c>
      <c r="U74" s="2" t="b">
        <f t="shared" si="34"/>
        <v>0</v>
      </c>
      <c r="V74" s="2" t="b">
        <f t="shared" si="22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37"/>
        <v/>
      </c>
      <c r="D75" s="4" t="str">
        <f t="shared" si="26"/>
        <v/>
      </c>
      <c r="E75" s="4">
        <f t="shared" si="35"/>
        <v>80</v>
      </c>
      <c r="F75" s="34" t="e">
        <f t="shared" si="36"/>
        <v>#VALUE!</v>
      </c>
      <c r="G75" s="4" t="str">
        <f t="shared" si="23"/>
        <v/>
      </c>
      <c r="H75" s="5" t="str">
        <f t="shared" si="38"/>
        <v/>
      </c>
      <c r="I75" s="4"/>
      <c r="J75" s="2" t="str">
        <f t="shared" si="27"/>
        <v/>
      </c>
      <c r="K75" s="24" t="e">
        <f t="shared" si="28"/>
        <v>#VALUE!</v>
      </c>
      <c r="L75" s="24" t="e">
        <f t="shared" si="29"/>
        <v>#VALUE!</v>
      </c>
      <c r="M75" s="24" t="e">
        <f t="shared" si="30"/>
        <v>#VALUE!</v>
      </c>
      <c r="N75" s="2"/>
      <c r="O75" s="34" t="e">
        <f t="shared" si="24"/>
        <v>#VALUE!</v>
      </c>
      <c r="P75" s="2" t="e">
        <f t="shared" si="25"/>
        <v>#VALUE!</v>
      </c>
      <c r="Q75" s="2" t="e">
        <f t="shared" si="31"/>
        <v>#VALUE!</v>
      </c>
      <c r="R75" s="2" t="e">
        <f t="shared" si="32"/>
        <v>#VALUE!</v>
      </c>
      <c r="S75" s="2" t="str">
        <f t="shared" si="33"/>
        <v>N</v>
      </c>
      <c r="T75" s="2" t="b">
        <f t="shared" si="21"/>
        <v>0</v>
      </c>
      <c r="U75" s="2" t="b">
        <f t="shared" si="34"/>
        <v>0</v>
      </c>
      <c r="V75" s="2" t="b">
        <f t="shared" si="22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37"/>
        <v/>
      </c>
      <c r="D76" s="4" t="str">
        <f t="shared" si="26"/>
        <v/>
      </c>
      <c r="E76" s="4">
        <f t="shared" si="35"/>
        <v>80</v>
      </c>
      <c r="F76" s="34" t="e">
        <f t="shared" si="36"/>
        <v>#VALUE!</v>
      </c>
      <c r="G76" s="4" t="str">
        <f t="shared" si="23"/>
        <v/>
      </c>
      <c r="H76" s="5" t="str">
        <f t="shared" si="38"/>
        <v/>
      </c>
      <c r="I76" s="4"/>
      <c r="J76" s="2" t="str">
        <f t="shared" si="27"/>
        <v/>
      </c>
      <c r="K76" s="24" t="e">
        <f t="shared" si="28"/>
        <v>#VALUE!</v>
      </c>
      <c r="L76" s="24" t="e">
        <f t="shared" si="29"/>
        <v>#VALUE!</v>
      </c>
      <c r="M76" s="24" t="e">
        <f t="shared" si="30"/>
        <v>#VALUE!</v>
      </c>
      <c r="N76" s="2"/>
      <c r="O76" s="34" t="e">
        <f t="shared" si="24"/>
        <v>#VALUE!</v>
      </c>
      <c r="P76" s="2" t="e">
        <f t="shared" si="25"/>
        <v>#VALUE!</v>
      </c>
      <c r="Q76" s="2" t="e">
        <f t="shared" si="31"/>
        <v>#VALUE!</v>
      </c>
      <c r="R76" s="2" t="e">
        <f t="shared" si="32"/>
        <v>#VALUE!</v>
      </c>
      <c r="S76" s="2" t="str">
        <f t="shared" si="33"/>
        <v>N</v>
      </c>
      <c r="T76" s="2" t="b">
        <f t="shared" si="21"/>
        <v>0</v>
      </c>
      <c r="U76" s="2" t="b">
        <f t="shared" si="34"/>
        <v>0</v>
      </c>
      <c r="V76" s="2" t="b">
        <f t="shared" si="22"/>
        <v>0</v>
      </c>
      <c r="W76" s="2"/>
      <c r="X76" s="2"/>
    </row>
    <row r="77" spans="1:24" x14ac:dyDescent="0.25">
      <c r="A77" s="34">
        <v>44218</v>
      </c>
      <c r="B77" s="4"/>
      <c r="C77" s="5" t="str">
        <f t="shared" si="37"/>
        <v/>
      </c>
      <c r="D77" s="4" t="str">
        <f t="shared" si="26"/>
        <v/>
      </c>
      <c r="E77" s="4">
        <f t="shared" si="35"/>
        <v>80</v>
      </c>
      <c r="F77" s="34" t="e">
        <f t="shared" si="36"/>
        <v>#VALUE!</v>
      </c>
      <c r="G77" s="4" t="str">
        <f t="shared" si="23"/>
        <v/>
      </c>
      <c r="H77" s="5" t="str">
        <f t="shared" si="38"/>
        <v/>
      </c>
      <c r="I77" s="4"/>
      <c r="J77" s="2" t="str">
        <f t="shared" si="27"/>
        <v/>
      </c>
      <c r="K77" s="24" t="e">
        <f t="shared" si="28"/>
        <v>#VALUE!</v>
      </c>
      <c r="L77" s="24" t="e">
        <f t="shared" si="29"/>
        <v>#VALUE!</v>
      </c>
      <c r="M77" s="24" t="e">
        <f t="shared" si="30"/>
        <v>#VALUE!</v>
      </c>
      <c r="N77" s="2"/>
      <c r="O77" s="34" t="e">
        <f t="shared" si="24"/>
        <v>#VALUE!</v>
      </c>
      <c r="P77" s="2" t="e">
        <f t="shared" si="25"/>
        <v>#VALUE!</v>
      </c>
      <c r="Q77" s="2" t="e">
        <f t="shared" si="31"/>
        <v>#VALUE!</v>
      </c>
      <c r="R77" s="2" t="e">
        <f t="shared" si="32"/>
        <v>#VALUE!</v>
      </c>
      <c r="S77" s="2" t="str">
        <f t="shared" si="33"/>
        <v>N</v>
      </c>
      <c r="T77" s="2" t="b">
        <f t="shared" si="21"/>
        <v>0</v>
      </c>
      <c r="U77" s="2" t="b">
        <f t="shared" si="34"/>
        <v>0</v>
      </c>
      <c r="V77" s="2" t="b">
        <f t="shared" si="22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37"/>
        <v/>
      </c>
      <c r="D78" s="4" t="str">
        <f t="shared" si="26"/>
        <v/>
      </c>
      <c r="E78" s="4">
        <f t="shared" si="35"/>
        <v>80</v>
      </c>
      <c r="F78" s="34" t="e">
        <f t="shared" si="36"/>
        <v>#VALUE!</v>
      </c>
      <c r="G78" s="4" t="str">
        <f t="shared" si="23"/>
        <v/>
      </c>
      <c r="H78" s="5" t="str">
        <f t="shared" si="38"/>
        <v/>
      </c>
      <c r="I78" s="4"/>
      <c r="J78" s="2" t="str">
        <f t="shared" si="27"/>
        <v/>
      </c>
      <c r="K78" s="24" t="e">
        <f t="shared" si="28"/>
        <v>#VALUE!</v>
      </c>
      <c r="L78" s="24" t="e">
        <f t="shared" si="29"/>
        <v>#VALUE!</v>
      </c>
      <c r="M78" s="24" t="e">
        <f t="shared" si="30"/>
        <v>#VALUE!</v>
      </c>
      <c r="N78" s="2"/>
      <c r="O78" s="34" t="e">
        <f t="shared" si="24"/>
        <v>#VALUE!</v>
      </c>
      <c r="P78" s="2" t="e">
        <f t="shared" si="25"/>
        <v>#VALUE!</v>
      </c>
      <c r="Q78" s="2" t="e">
        <f t="shared" si="31"/>
        <v>#VALUE!</v>
      </c>
      <c r="R78" s="2" t="e">
        <f t="shared" si="32"/>
        <v>#VALUE!</v>
      </c>
      <c r="S78" s="2" t="str">
        <f t="shared" si="33"/>
        <v>N</v>
      </c>
      <c r="T78" s="2" t="b">
        <f t="shared" si="21"/>
        <v>0</v>
      </c>
      <c r="U78" s="2" t="b">
        <f t="shared" si="34"/>
        <v>0</v>
      </c>
      <c r="V78" s="2" t="b">
        <f t="shared" si="22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37"/>
        <v/>
      </c>
      <c r="D79" s="4" t="str">
        <f t="shared" si="26"/>
        <v/>
      </c>
      <c r="E79" s="4">
        <f t="shared" si="35"/>
        <v>80</v>
      </c>
      <c r="F79" s="34" t="e">
        <f t="shared" si="36"/>
        <v>#VALUE!</v>
      </c>
      <c r="G79" s="4" t="str">
        <f t="shared" si="23"/>
        <v/>
      </c>
      <c r="H79" s="5" t="str">
        <f t="shared" si="38"/>
        <v/>
      </c>
      <c r="I79" s="4"/>
      <c r="J79" s="2" t="str">
        <f t="shared" si="27"/>
        <v/>
      </c>
      <c r="K79" s="24" t="e">
        <f t="shared" si="28"/>
        <v>#VALUE!</v>
      </c>
      <c r="L79" s="24" t="e">
        <f t="shared" si="29"/>
        <v>#VALUE!</v>
      </c>
      <c r="M79" s="24" t="e">
        <f t="shared" si="30"/>
        <v>#VALUE!</v>
      </c>
      <c r="N79" s="2"/>
      <c r="O79" s="34" t="e">
        <f t="shared" si="24"/>
        <v>#VALUE!</v>
      </c>
      <c r="P79" s="2" t="e">
        <f t="shared" si="25"/>
        <v>#VALUE!</v>
      </c>
      <c r="Q79" s="2" t="e">
        <f t="shared" si="31"/>
        <v>#VALUE!</v>
      </c>
      <c r="R79" s="2" t="e">
        <f t="shared" si="32"/>
        <v>#VALUE!</v>
      </c>
      <c r="S79" s="2" t="str">
        <f t="shared" si="33"/>
        <v>N</v>
      </c>
      <c r="T79" s="2" t="b">
        <f t="shared" si="21"/>
        <v>0</v>
      </c>
      <c r="U79" s="2" t="b">
        <f t="shared" si="34"/>
        <v>0</v>
      </c>
      <c r="V79" s="2" t="b">
        <f t="shared" si="22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37"/>
        <v/>
      </c>
      <c r="D80" s="4" t="str">
        <f t="shared" si="26"/>
        <v/>
      </c>
      <c r="E80" s="4">
        <f t="shared" si="35"/>
        <v>80</v>
      </c>
      <c r="F80" s="34" t="e">
        <f t="shared" si="36"/>
        <v>#VALUE!</v>
      </c>
      <c r="G80" s="4" t="str">
        <f t="shared" si="23"/>
        <v/>
      </c>
      <c r="H80" s="5" t="str">
        <f t="shared" si="38"/>
        <v/>
      </c>
      <c r="I80" s="4"/>
      <c r="J80" s="2" t="str">
        <f t="shared" si="27"/>
        <v/>
      </c>
      <c r="K80" s="24" t="e">
        <f t="shared" si="28"/>
        <v>#VALUE!</v>
      </c>
      <c r="L80" s="24" t="e">
        <f t="shared" si="29"/>
        <v>#VALUE!</v>
      </c>
      <c r="M80" s="24" t="e">
        <f t="shared" si="30"/>
        <v>#VALUE!</v>
      </c>
      <c r="N80" s="2"/>
      <c r="O80" s="34" t="e">
        <f t="shared" si="24"/>
        <v>#VALUE!</v>
      </c>
      <c r="P80" s="2" t="e">
        <f t="shared" si="25"/>
        <v>#VALUE!</v>
      </c>
      <c r="Q80" s="2" t="e">
        <f t="shared" si="31"/>
        <v>#VALUE!</v>
      </c>
      <c r="R80" s="2" t="e">
        <f t="shared" si="32"/>
        <v>#VALUE!</v>
      </c>
      <c r="S80" s="2" t="str">
        <f t="shared" si="33"/>
        <v>N</v>
      </c>
      <c r="T80" s="2" t="b">
        <f t="shared" si="21"/>
        <v>0</v>
      </c>
      <c r="U80" s="2" t="b">
        <f t="shared" si="34"/>
        <v>0</v>
      </c>
      <c r="V80" s="2" t="b">
        <f t="shared" si="22"/>
        <v>0</v>
      </c>
      <c r="W80" s="2"/>
      <c r="X80" s="2"/>
    </row>
    <row r="81" spans="1:24" x14ac:dyDescent="0.25">
      <c r="A81" s="34">
        <v>44246</v>
      </c>
      <c r="B81" s="4"/>
      <c r="C81" s="5" t="str">
        <f t="shared" si="37"/>
        <v/>
      </c>
      <c r="D81" s="4" t="str">
        <f t="shared" si="26"/>
        <v/>
      </c>
      <c r="E81" s="4">
        <f t="shared" si="35"/>
        <v>80</v>
      </c>
      <c r="F81" s="34" t="e">
        <f t="shared" si="36"/>
        <v>#VALUE!</v>
      </c>
      <c r="G81" s="4" t="str">
        <f t="shared" si="23"/>
        <v/>
      </c>
      <c r="H81" s="5" t="str">
        <f t="shared" si="38"/>
        <v/>
      </c>
      <c r="I81" s="4"/>
      <c r="J81" s="2" t="str">
        <f t="shared" si="27"/>
        <v/>
      </c>
      <c r="K81" s="24" t="e">
        <f t="shared" si="28"/>
        <v>#VALUE!</v>
      </c>
      <c r="L81" s="24" t="e">
        <f t="shared" si="29"/>
        <v>#VALUE!</v>
      </c>
      <c r="M81" s="24" t="e">
        <f t="shared" si="30"/>
        <v>#VALUE!</v>
      </c>
      <c r="N81" s="2"/>
      <c r="O81" s="34" t="e">
        <f t="shared" si="24"/>
        <v>#VALUE!</v>
      </c>
      <c r="P81" s="2" t="e">
        <f t="shared" si="25"/>
        <v>#VALUE!</v>
      </c>
      <c r="Q81" s="2" t="e">
        <f t="shared" si="31"/>
        <v>#VALUE!</v>
      </c>
      <c r="R81" s="2" t="e">
        <f t="shared" si="32"/>
        <v>#VALUE!</v>
      </c>
      <c r="S81" s="2" t="str">
        <f t="shared" si="33"/>
        <v>N</v>
      </c>
      <c r="T81" s="2" t="b">
        <f t="shared" si="21"/>
        <v>0</v>
      </c>
      <c r="U81" s="2" t="b">
        <f t="shared" si="34"/>
        <v>0</v>
      </c>
      <c r="V81" s="2" t="b">
        <f t="shared" si="22"/>
        <v>0</v>
      </c>
      <c r="W81" s="2"/>
      <c r="X81" s="2"/>
    </row>
    <row r="82" spans="1:24" x14ac:dyDescent="0.25">
      <c r="A82" s="34">
        <v>44253</v>
      </c>
      <c r="B82" s="4"/>
      <c r="C82" s="5" t="str">
        <f t="shared" si="37"/>
        <v/>
      </c>
      <c r="D82" s="4" t="str">
        <f t="shared" si="26"/>
        <v/>
      </c>
      <c r="E82" s="4">
        <f t="shared" si="35"/>
        <v>80</v>
      </c>
      <c r="F82" s="34" t="e">
        <f t="shared" si="36"/>
        <v>#VALUE!</v>
      </c>
      <c r="G82" s="4" t="str">
        <f t="shared" si="23"/>
        <v/>
      </c>
      <c r="H82" s="5" t="str">
        <f t="shared" si="38"/>
        <v/>
      </c>
      <c r="I82" s="4"/>
      <c r="J82" s="2" t="str">
        <f t="shared" si="27"/>
        <v/>
      </c>
      <c r="K82" s="24" t="e">
        <f t="shared" si="28"/>
        <v>#VALUE!</v>
      </c>
      <c r="L82" s="24" t="e">
        <f t="shared" si="29"/>
        <v>#VALUE!</v>
      </c>
      <c r="M82" s="24" t="e">
        <f t="shared" si="30"/>
        <v>#VALUE!</v>
      </c>
      <c r="N82" s="2"/>
      <c r="O82" s="34" t="e">
        <f t="shared" si="24"/>
        <v>#VALUE!</v>
      </c>
      <c r="P82" s="2" t="e">
        <f t="shared" si="25"/>
        <v>#VALUE!</v>
      </c>
      <c r="Q82" s="2" t="e">
        <f t="shared" si="31"/>
        <v>#VALUE!</v>
      </c>
      <c r="R82" s="2" t="e">
        <f t="shared" si="32"/>
        <v>#VALUE!</v>
      </c>
      <c r="S82" s="2" t="str">
        <f t="shared" si="33"/>
        <v>N</v>
      </c>
      <c r="T82" s="2" t="b">
        <f t="shared" si="21"/>
        <v>0</v>
      </c>
      <c r="U82" s="2" t="b">
        <f t="shared" si="34"/>
        <v>0</v>
      </c>
      <c r="V82" s="2" t="b">
        <f t="shared" si="22"/>
        <v>0</v>
      </c>
      <c r="W82" s="2"/>
      <c r="X82" s="2"/>
    </row>
    <row r="83" spans="1:24" x14ac:dyDescent="0.25">
      <c r="A83" s="34">
        <v>44260</v>
      </c>
      <c r="B83" s="4"/>
      <c r="C83" s="5" t="str">
        <f t="shared" si="37"/>
        <v/>
      </c>
      <c r="D83" s="4" t="str">
        <f t="shared" si="26"/>
        <v/>
      </c>
      <c r="E83" s="4">
        <f t="shared" si="35"/>
        <v>80</v>
      </c>
      <c r="F83" s="34" t="e">
        <f t="shared" si="36"/>
        <v>#VALUE!</v>
      </c>
      <c r="G83" s="4" t="str">
        <f t="shared" si="23"/>
        <v/>
      </c>
      <c r="H83" s="5" t="str">
        <f t="shared" si="38"/>
        <v/>
      </c>
      <c r="I83" s="4"/>
      <c r="J83" s="2" t="str">
        <f t="shared" si="27"/>
        <v/>
      </c>
      <c r="K83" s="24" t="e">
        <f t="shared" si="28"/>
        <v>#VALUE!</v>
      </c>
      <c r="L83" s="24" t="e">
        <f t="shared" si="29"/>
        <v>#VALUE!</v>
      </c>
      <c r="M83" s="24" t="e">
        <f t="shared" si="30"/>
        <v>#VALUE!</v>
      </c>
      <c r="N83" s="2"/>
      <c r="O83" s="34" t="e">
        <f t="shared" si="24"/>
        <v>#VALUE!</v>
      </c>
      <c r="P83" s="2" t="e">
        <f t="shared" si="25"/>
        <v>#VALUE!</v>
      </c>
      <c r="Q83" s="2" t="e">
        <f t="shared" si="31"/>
        <v>#VALUE!</v>
      </c>
      <c r="R83" s="2" t="e">
        <f t="shared" si="32"/>
        <v>#VALUE!</v>
      </c>
      <c r="S83" s="2" t="str">
        <f t="shared" si="33"/>
        <v>N</v>
      </c>
      <c r="T83" s="2" t="b">
        <f t="shared" si="21"/>
        <v>0</v>
      </c>
      <c r="U83" s="2" t="b">
        <f t="shared" si="34"/>
        <v>0</v>
      </c>
      <c r="V83" s="2" t="b">
        <f t="shared" si="22"/>
        <v>0</v>
      </c>
      <c r="W83" s="2"/>
      <c r="X83" s="2"/>
    </row>
    <row r="84" spans="1:24" x14ac:dyDescent="0.25">
      <c r="A84" s="34">
        <v>44267</v>
      </c>
      <c r="B84" s="4"/>
      <c r="C84" s="5" t="str">
        <f t="shared" si="37"/>
        <v/>
      </c>
      <c r="D84" s="4" t="str">
        <f t="shared" si="26"/>
        <v/>
      </c>
      <c r="E84" s="4">
        <f t="shared" si="35"/>
        <v>80</v>
      </c>
      <c r="F84" s="34" t="e">
        <f t="shared" si="36"/>
        <v>#VALUE!</v>
      </c>
      <c r="G84" s="4" t="str">
        <f t="shared" si="23"/>
        <v/>
      </c>
      <c r="H84" s="5" t="str">
        <f t="shared" si="38"/>
        <v/>
      </c>
      <c r="I84" s="4"/>
      <c r="J84" s="2" t="str">
        <f t="shared" si="27"/>
        <v/>
      </c>
      <c r="K84" s="24" t="e">
        <f t="shared" si="28"/>
        <v>#VALUE!</v>
      </c>
      <c r="L84" s="24" t="e">
        <f t="shared" si="29"/>
        <v>#VALUE!</v>
      </c>
      <c r="M84" s="24" t="e">
        <f t="shared" si="30"/>
        <v>#VALUE!</v>
      </c>
      <c r="N84" s="2"/>
      <c r="O84" s="34" t="e">
        <f t="shared" si="24"/>
        <v>#VALUE!</v>
      </c>
      <c r="P84" s="2" t="e">
        <f t="shared" si="25"/>
        <v>#VALUE!</v>
      </c>
      <c r="Q84" s="2" t="e">
        <f t="shared" si="31"/>
        <v>#VALUE!</v>
      </c>
      <c r="R84" s="2" t="e">
        <f t="shared" si="32"/>
        <v>#VALUE!</v>
      </c>
      <c r="S84" s="2" t="str">
        <f t="shared" si="33"/>
        <v>N</v>
      </c>
      <c r="T84" s="2" t="b">
        <f t="shared" si="21"/>
        <v>0</v>
      </c>
      <c r="U84" s="2" t="b">
        <f t="shared" si="34"/>
        <v>0</v>
      </c>
      <c r="V84" s="2" t="b">
        <f t="shared" si="22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37"/>
        <v/>
      </c>
      <c r="D85" s="4" t="str">
        <f t="shared" si="26"/>
        <v/>
      </c>
      <c r="E85" s="4">
        <f t="shared" si="35"/>
        <v>80</v>
      </c>
      <c r="F85" s="34" t="e">
        <f t="shared" si="36"/>
        <v>#VALUE!</v>
      </c>
      <c r="G85" s="4" t="str">
        <f t="shared" si="23"/>
        <v/>
      </c>
      <c r="H85" s="5" t="str">
        <f t="shared" si="38"/>
        <v/>
      </c>
      <c r="I85" s="4"/>
      <c r="J85" s="2" t="str">
        <f t="shared" si="27"/>
        <v/>
      </c>
      <c r="K85" s="24" t="e">
        <f t="shared" si="28"/>
        <v>#VALUE!</v>
      </c>
      <c r="L85" s="24" t="e">
        <f t="shared" si="29"/>
        <v>#VALUE!</v>
      </c>
      <c r="M85" s="24" t="e">
        <f t="shared" si="30"/>
        <v>#VALUE!</v>
      </c>
      <c r="N85" s="2"/>
      <c r="O85" s="34" t="e">
        <f t="shared" si="24"/>
        <v>#VALUE!</v>
      </c>
      <c r="P85" s="2" t="e">
        <f t="shared" si="25"/>
        <v>#VALUE!</v>
      </c>
      <c r="Q85" s="2" t="e">
        <f t="shared" si="31"/>
        <v>#VALUE!</v>
      </c>
      <c r="R85" s="2" t="e">
        <f t="shared" si="32"/>
        <v>#VALUE!</v>
      </c>
      <c r="S85" s="2" t="str">
        <f t="shared" si="33"/>
        <v>N</v>
      </c>
      <c r="T85" s="2" t="b">
        <f t="shared" si="21"/>
        <v>0</v>
      </c>
      <c r="U85" s="2" t="b">
        <f t="shared" si="34"/>
        <v>0</v>
      </c>
      <c r="V85" s="2" t="b">
        <f t="shared" si="22"/>
        <v>0</v>
      </c>
      <c r="W85" s="2"/>
      <c r="X85" s="2"/>
    </row>
    <row r="86" spans="1:24" x14ac:dyDescent="0.25">
      <c r="A86" s="34">
        <v>44281</v>
      </c>
      <c r="B86" s="4"/>
      <c r="C86" s="5" t="str">
        <f t="shared" si="37"/>
        <v/>
      </c>
      <c r="D86" s="4" t="str">
        <f t="shared" si="26"/>
        <v/>
      </c>
      <c r="E86" s="4">
        <f t="shared" si="35"/>
        <v>80</v>
      </c>
      <c r="F86" s="34" t="e">
        <f t="shared" si="36"/>
        <v>#VALUE!</v>
      </c>
      <c r="G86" s="4" t="str">
        <f t="shared" si="23"/>
        <v/>
      </c>
      <c r="H86" s="5" t="str">
        <f t="shared" si="38"/>
        <v/>
      </c>
      <c r="I86" s="4"/>
      <c r="J86" s="2" t="str">
        <f t="shared" si="27"/>
        <v/>
      </c>
      <c r="K86" s="24" t="e">
        <f t="shared" si="28"/>
        <v>#VALUE!</v>
      </c>
      <c r="L86" s="24" t="e">
        <f t="shared" si="29"/>
        <v>#VALUE!</v>
      </c>
      <c r="M86" s="24" t="e">
        <f t="shared" si="30"/>
        <v>#VALUE!</v>
      </c>
      <c r="N86" s="2"/>
      <c r="O86" s="34" t="e">
        <f t="shared" si="24"/>
        <v>#VALUE!</v>
      </c>
      <c r="P86" s="2" t="e">
        <f t="shared" si="25"/>
        <v>#VALUE!</v>
      </c>
      <c r="Q86" s="2" t="e">
        <f t="shared" si="31"/>
        <v>#VALUE!</v>
      </c>
      <c r="R86" s="2" t="e">
        <f t="shared" si="32"/>
        <v>#VALUE!</v>
      </c>
      <c r="S86" s="2" t="str">
        <f t="shared" si="33"/>
        <v>N</v>
      </c>
      <c r="T86" s="2" t="b">
        <f t="shared" si="21"/>
        <v>0</v>
      </c>
      <c r="U86" s="2" t="b">
        <f t="shared" si="34"/>
        <v>0</v>
      </c>
      <c r="V86" s="2" t="b">
        <f t="shared" si="22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37"/>
        <v/>
      </c>
      <c r="D87" s="4" t="str">
        <f t="shared" si="26"/>
        <v/>
      </c>
      <c r="E87" s="4">
        <f t="shared" si="35"/>
        <v>80</v>
      </c>
      <c r="F87" s="34" t="e">
        <f t="shared" si="36"/>
        <v>#VALUE!</v>
      </c>
      <c r="G87" s="4" t="str">
        <f t="shared" si="23"/>
        <v/>
      </c>
      <c r="H87" s="5" t="str">
        <f t="shared" si="38"/>
        <v/>
      </c>
      <c r="I87" s="4"/>
      <c r="J87" s="2" t="str">
        <f t="shared" si="27"/>
        <v/>
      </c>
      <c r="K87" s="24" t="e">
        <f t="shared" si="28"/>
        <v>#VALUE!</v>
      </c>
      <c r="L87" s="24" t="e">
        <f t="shared" si="29"/>
        <v>#VALUE!</v>
      </c>
      <c r="M87" s="24" t="e">
        <f t="shared" si="30"/>
        <v>#VALUE!</v>
      </c>
      <c r="N87" s="2"/>
      <c r="O87" s="34" t="e">
        <f t="shared" si="24"/>
        <v>#VALUE!</v>
      </c>
      <c r="P87" s="2" t="e">
        <f t="shared" si="25"/>
        <v>#VALUE!</v>
      </c>
      <c r="Q87" s="2" t="e">
        <f t="shared" si="31"/>
        <v>#VALUE!</v>
      </c>
      <c r="R87" s="2" t="e">
        <f t="shared" si="32"/>
        <v>#VALUE!</v>
      </c>
      <c r="S87" s="2" t="str">
        <f t="shared" si="33"/>
        <v>N</v>
      </c>
      <c r="T87" s="2" t="b">
        <f t="shared" si="21"/>
        <v>0</v>
      </c>
      <c r="U87" s="2" t="b">
        <f t="shared" si="34"/>
        <v>0</v>
      </c>
      <c r="V87" s="2" t="b">
        <f t="shared" si="22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37"/>
        <v/>
      </c>
      <c r="D88" s="4" t="str">
        <f t="shared" si="26"/>
        <v/>
      </c>
      <c r="E88" s="4">
        <f t="shared" si="35"/>
        <v>80</v>
      </c>
      <c r="F88" s="34" t="e">
        <f t="shared" si="36"/>
        <v>#VALUE!</v>
      </c>
      <c r="G88" s="4" t="str">
        <f t="shared" si="23"/>
        <v/>
      </c>
      <c r="H88" s="5" t="str">
        <f t="shared" si="38"/>
        <v/>
      </c>
      <c r="I88" s="4"/>
      <c r="J88" s="2" t="str">
        <f t="shared" si="27"/>
        <v/>
      </c>
      <c r="K88" s="24" t="e">
        <f t="shared" si="28"/>
        <v>#VALUE!</v>
      </c>
      <c r="L88" s="24" t="e">
        <f t="shared" si="29"/>
        <v>#VALUE!</v>
      </c>
      <c r="M88" s="24" t="e">
        <f t="shared" si="30"/>
        <v>#VALUE!</v>
      </c>
      <c r="N88" s="2"/>
      <c r="O88" s="34" t="e">
        <f t="shared" si="24"/>
        <v>#VALUE!</v>
      </c>
      <c r="P88" s="2" t="e">
        <f t="shared" si="25"/>
        <v>#VALUE!</v>
      </c>
      <c r="Q88" s="2" t="e">
        <f t="shared" si="31"/>
        <v>#VALUE!</v>
      </c>
      <c r="R88" s="2" t="e">
        <f t="shared" si="32"/>
        <v>#VALUE!</v>
      </c>
      <c r="S88" s="2" t="str">
        <f t="shared" si="33"/>
        <v>N</v>
      </c>
      <c r="T88" s="2" t="b">
        <f t="shared" si="21"/>
        <v>0</v>
      </c>
      <c r="U88" s="2" t="b">
        <f t="shared" si="34"/>
        <v>0</v>
      </c>
      <c r="V88" s="2" t="b">
        <f t="shared" si="22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37"/>
        <v/>
      </c>
      <c r="D89" s="4" t="str">
        <f t="shared" si="26"/>
        <v/>
      </c>
      <c r="E89" s="4">
        <f t="shared" si="35"/>
        <v>80</v>
      </c>
      <c r="F89" s="34" t="e">
        <f t="shared" si="36"/>
        <v>#VALUE!</v>
      </c>
      <c r="G89" s="4" t="str">
        <f t="shared" si="23"/>
        <v/>
      </c>
      <c r="H89" s="5" t="str">
        <f t="shared" si="38"/>
        <v/>
      </c>
      <c r="I89" s="4"/>
      <c r="J89" s="2" t="str">
        <f t="shared" si="27"/>
        <v/>
      </c>
      <c r="K89" s="24" t="e">
        <f t="shared" si="28"/>
        <v>#VALUE!</v>
      </c>
      <c r="L89" s="24" t="e">
        <f t="shared" si="29"/>
        <v>#VALUE!</v>
      </c>
      <c r="M89" s="24" t="e">
        <f t="shared" si="30"/>
        <v>#VALUE!</v>
      </c>
      <c r="N89" s="2"/>
      <c r="O89" s="34" t="e">
        <f t="shared" si="24"/>
        <v>#VALUE!</v>
      </c>
      <c r="P89" s="2" t="e">
        <f t="shared" si="25"/>
        <v>#VALUE!</v>
      </c>
      <c r="Q89" s="2" t="e">
        <f t="shared" si="31"/>
        <v>#VALUE!</v>
      </c>
      <c r="R89" s="2" t="e">
        <f t="shared" si="32"/>
        <v>#VALUE!</v>
      </c>
      <c r="S89" s="2" t="str">
        <f t="shared" si="33"/>
        <v>N</v>
      </c>
      <c r="T89" s="2" t="b">
        <f t="shared" si="21"/>
        <v>0</v>
      </c>
      <c r="U89" s="2" t="b">
        <f t="shared" si="34"/>
        <v>0</v>
      </c>
      <c r="V89" s="2" t="b">
        <f t="shared" si="22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37"/>
        <v/>
      </c>
      <c r="D90" s="4" t="str">
        <f t="shared" si="26"/>
        <v/>
      </c>
      <c r="E90" s="4">
        <f t="shared" si="35"/>
        <v>80</v>
      </c>
      <c r="F90" s="34" t="e">
        <f t="shared" si="36"/>
        <v>#VALUE!</v>
      </c>
      <c r="G90" s="4" t="str">
        <f t="shared" si="23"/>
        <v/>
      </c>
      <c r="H90" s="5" t="str">
        <f t="shared" si="38"/>
        <v/>
      </c>
      <c r="I90" s="4"/>
      <c r="J90" s="2" t="str">
        <f t="shared" si="27"/>
        <v/>
      </c>
      <c r="K90" s="24" t="e">
        <f t="shared" si="28"/>
        <v>#VALUE!</v>
      </c>
      <c r="L90" s="24" t="e">
        <f t="shared" si="29"/>
        <v>#VALUE!</v>
      </c>
      <c r="M90" s="24" t="e">
        <f t="shared" si="30"/>
        <v>#VALUE!</v>
      </c>
      <c r="N90" s="2"/>
      <c r="O90" s="34" t="e">
        <f t="shared" si="24"/>
        <v>#VALUE!</v>
      </c>
      <c r="P90" s="2" t="e">
        <f t="shared" si="25"/>
        <v>#VALUE!</v>
      </c>
      <c r="Q90" s="2" t="e">
        <f t="shared" si="31"/>
        <v>#VALUE!</v>
      </c>
      <c r="R90" s="2" t="e">
        <f t="shared" si="32"/>
        <v>#VALUE!</v>
      </c>
      <c r="S90" s="2" t="str">
        <f t="shared" si="33"/>
        <v>N</v>
      </c>
      <c r="T90" s="2" t="b">
        <f t="shared" si="21"/>
        <v>0</v>
      </c>
      <c r="U90" s="2" t="b">
        <f t="shared" si="34"/>
        <v>0</v>
      </c>
      <c r="V90" s="2" t="b">
        <f t="shared" si="22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37"/>
        <v/>
      </c>
      <c r="D91" s="4" t="str">
        <f t="shared" si="26"/>
        <v/>
      </c>
      <c r="E91" s="4">
        <f t="shared" si="35"/>
        <v>80</v>
      </c>
      <c r="F91" s="34" t="e">
        <f t="shared" si="36"/>
        <v>#VALUE!</v>
      </c>
      <c r="G91" s="4" t="str">
        <f t="shared" si="23"/>
        <v/>
      </c>
      <c r="H91" s="5" t="str">
        <f t="shared" si="38"/>
        <v/>
      </c>
      <c r="I91" s="4"/>
      <c r="J91" s="2" t="str">
        <f t="shared" si="27"/>
        <v/>
      </c>
      <c r="K91" s="24" t="e">
        <f t="shared" si="28"/>
        <v>#VALUE!</v>
      </c>
      <c r="L91" s="24" t="e">
        <f t="shared" si="29"/>
        <v>#VALUE!</v>
      </c>
      <c r="M91" s="24" t="e">
        <f t="shared" si="30"/>
        <v>#VALUE!</v>
      </c>
      <c r="N91" s="2"/>
      <c r="O91" s="34" t="e">
        <f t="shared" si="24"/>
        <v>#VALUE!</v>
      </c>
      <c r="P91" s="2" t="e">
        <f t="shared" si="25"/>
        <v>#VALUE!</v>
      </c>
      <c r="Q91" s="2" t="e">
        <f t="shared" si="31"/>
        <v>#VALUE!</v>
      </c>
      <c r="R91" s="2" t="e">
        <f t="shared" si="32"/>
        <v>#VALUE!</v>
      </c>
      <c r="S91" s="2" t="str">
        <f t="shared" si="33"/>
        <v>N</v>
      </c>
      <c r="T91" s="2" t="b">
        <f t="shared" si="21"/>
        <v>0</v>
      </c>
      <c r="U91" s="2" t="b">
        <f t="shared" si="34"/>
        <v>0</v>
      </c>
      <c r="V91" s="2" t="b">
        <f t="shared" si="22"/>
        <v>0</v>
      </c>
      <c r="W91" s="2"/>
      <c r="X91" s="2"/>
    </row>
    <row r="92" spans="1:24" x14ac:dyDescent="0.25">
      <c r="A92" s="34">
        <v>44323</v>
      </c>
      <c r="B92" s="4"/>
      <c r="C92" s="5" t="str">
        <f t="shared" si="37"/>
        <v/>
      </c>
      <c r="D92" s="4" t="str">
        <f t="shared" si="26"/>
        <v/>
      </c>
      <c r="E92" s="4">
        <f t="shared" si="35"/>
        <v>80</v>
      </c>
      <c r="F92" s="34" t="e">
        <f t="shared" si="36"/>
        <v>#VALUE!</v>
      </c>
      <c r="G92" s="4" t="str">
        <f t="shared" si="23"/>
        <v/>
      </c>
      <c r="H92" s="5" t="str">
        <f t="shared" si="38"/>
        <v/>
      </c>
      <c r="I92" s="4"/>
      <c r="J92" s="2" t="str">
        <f t="shared" si="27"/>
        <v/>
      </c>
      <c r="K92" s="24" t="e">
        <f t="shared" si="28"/>
        <v>#VALUE!</v>
      </c>
      <c r="L92" s="24" t="e">
        <f t="shared" si="29"/>
        <v>#VALUE!</v>
      </c>
      <c r="M92" s="24" t="e">
        <f t="shared" si="30"/>
        <v>#VALUE!</v>
      </c>
      <c r="N92" s="2"/>
      <c r="O92" s="34" t="e">
        <f t="shared" si="24"/>
        <v>#VALUE!</v>
      </c>
      <c r="P92" s="2" t="e">
        <f t="shared" si="25"/>
        <v>#VALUE!</v>
      </c>
      <c r="Q92" s="2" t="e">
        <f t="shared" si="31"/>
        <v>#VALUE!</v>
      </c>
      <c r="R92" s="2" t="e">
        <f t="shared" si="32"/>
        <v>#VALUE!</v>
      </c>
      <c r="S92" s="2" t="str">
        <f t="shared" si="33"/>
        <v>N</v>
      </c>
      <c r="T92" s="2" t="b">
        <f t="shared" si="21"/>
        <v>0</v>
      </c>
      <c r="U92" s="2" t="b">
        <f t="shared" si="34"/>
        <v>0</v>
      </c>
      <c r="V92" s="2" t="b">
        <f t="shared" si="22"/>
        <v>0</v>
      </c>
      <c r="W92" s="2"/>
      <c r="X92" s="2">
        <v>1</v>
      </c>
    </row>
    <row r="93" spans="1:24" x14ac:dyDescent="0.25">
      <c r="A93" s="34">
        <v>44330</v>
      </c>
      <c r="B93" s="4"/>
      <c r="C93" s="5" t="str">
        <f t="shared" si="37"/>
        <v/>
      </c>
      <c r="D93" s="4" t="str">
        <f t="shared" si="26"/>
        <v/>
      </c>
      <c r="E93" s="4">
        <f t="shared" si="35"/>
        <v>80</v>
      </c>
      <c r="F93" s="34" t="e">
        <f t="shared" si="36"/>
        <v>#VALUE!</v>
      </c>
      <c r="G93" s="4" t="str">
        <f t="shared" si="23"/>
        <v/>
      </c>
      <c r="H93" s="5" t="str">
        <f t="shared" si="38"/>
        <v/>
      </c>
      <c r="I93" s="4"/>
      <c r="J93" s="2" t="str">
        <f t="shared" si="27"/>
        <v/>
      </c>
      <c r="K93" s="24" t="e">
        <f t="shared" si="28"/>
        <v>#VALUE!</v>
      </c>
      <c r="L93" s="24" t="e">
        <f t="shared" si="29"/>
        <v>#VALUE!</v>
      </c>
      <c r="M93" s="24" t="e">
        <f t="shared" si="30"/>
        <v>#VALUE!</v>
      </c>
      <c r="N93" s="2"/>
      <c r="O93" s="34" t="e">
        <f t="shared" si="24"/>
        <v>#VALUE!</v>
      </c>
      <c r="P93" s="2" t="e">
        <f t="shared" si="25"/>
        <v>#VALUE!</v>
      </c>
      <c r="Q93" s="2" t="e">
        <f t="shared" si="31"/>
        <v>#VALUE!</v>
      </c>
      <c r="R93" s="2" t="e">
        <f t="shared" si="32"/>
        <v>#VALUE!</v>
      </c>
      <c r="S93" s="2" t="str">
        <f t="shared" si="33"/>
        <v>N</v>
      </c>
      <c r="T93" s="2" t="b">
        <f t="shared" si="21"/>
        <v>0</v>
      </c>
      <c r="U93" s="2" t="b">
        <f t="shared" si="34"/>
        <v>0</v>
      </c>
      <c r="V93" s="2" t="b">
        <f t="shared" si="22"/>
        <v>0</v>
      </c>
      <c r="W93" s="2"/>
      <c r="X93" s="2">
        <v>2</v>
      </c>
    </row>
    <row r="94" spans="1:24" x14ac:dyDescent="0.25">
      <c r="A94" s="34">
        <v>44337</v>
      </c>
      <c r="B94" s="4"/>
      <c r="C94" s="5" t="str">
        <f t="shared" si="37"/>
        <v/>
      </c>
      <c r="D94" s="4" t="str">
        <f t="shared" si="26"/>
        <v/>
      </c>
      <c r="E94" s="4">
        <f t="shared" si="35"/>
        <v>80</v>
      </c>
      <c r="F94" s="34" t="e">
        <f t="shared" si="36"/>
        <v>#VALUE!</v>
      </c>
      <c r="G94" s="4" t="str">
        <f t="shared" si="23"/>
        <v/>
      </c>
      <c r="H94" s="5" t="str">
        <f t="shared" si="38"/>
        <v/>
      </c>
      <c r="I94" s="4"/>
      <c r="J94" s="2" t="str">
        <f t="shared" si="27"/>
        <v/>
      </c>
      <c r="K94" s="24" t="e">
        <f t="shared" si="28"/>
        <v>#VALUE!</v>
      </c>
      <c r="L94" s="24" t="e">
        <f t="shared" si="29"/>
        <v>#VALUE!</v>
      </c>
      <c r="M94" s="24" t="e">
        <f t="shared" si="30"/>
        <v>#VALUE!</v>
      </c>
      <c r="N94" s="2"/>
      <c r="O94" s="34" t="e">
        <f t="shared" si="24"/>
        <v>#VALUE!</v>
      </c>
      <c r="P94" s="2" t="e">
        <f t="shared" si="25"/>
        <v>#VALUE!</v>
      </c>
      <c r="Q94" s="2" t="e">
        <f t="shared" si="31"/>
        <v>#VALUE!</v>
      </c>
      <c r="R94" s="2" t="e">
        <f t="shared" si="32"/>
        <v>#VALUE!</v>
      </c>
      <c r="S94" s="2" t="str">
        <f t="shared" si="33"/>
        <v>N</v>
      </c>
      <c r="T94" s="2" t="b">
        <f t="shared" ref="T94:T115" si="39">ISBLANK(O94)</f>
        <v>0</v>
      </c>
      <c r="U94" s="2" t="b">
        <f t="shared" si="34"/>
        <v>0</v>
      </c>
      <c r="V94" s="2" t="b">
        <f t="shared" si="22"/>
        <v>0</v>
      </c>
      <c r="W94" s="2"/>
      <c r="X94" s="2">
        <v>3</v>
      </c>
    </row>
    <row r="95" spans="1:24" x14ac:dyDescent="0.25">
      <c r="A95" s="34">
        <v>44344</v>
      </c>
      <c r="B95" s="4"/>
      <c r="C95" s="5" t="str">
        <f t="shared" si="37"/>
        <v/>
      </c>
      <c r="D95" s="4" t="str">
        <f t="shared" si="26"/>
        <v/>
      </c>
      <c r="E95" s="4">
        <f t="shared" si="35"/>
        <v>80</v>
      </c>
      <c r="F95" s="34" t="e">
        <f t="shared" si="36"/>
        <v>#VALUE!</v>
      </c>
      <c r="G95" s="4" t="str">
        <f t="shared" si="23"/>
        <v/>
      </c>
      <c r="H95" s="5" t="str">
        <f t="shared" si="38"/>
        <v/>
      </c>
      <c r="I95" s="4"/>
      <c r="J95" s="2" t="str">
        <f t="shared" si="27"/>
        <v/>
      </c>
      <c r="K95" s="24" t="e">
        <f t="shared" si="28"/>
        <v>#VALUE!</v>
      </c>
      <c r="L95" s="24" t="e">
        <f t="shared" si="29"/>
        <v>#VALUE!</v>
      </c>
      <c r="M95" s="24" t="e">
        <f t="shared" si="30"/>
        <v>#VALUE!</v>
      </c>
      <c r="N95" s="2"/>
      <c r="O95" s="34" t="e">
        <f t="shared" si="24"/>
        <v>#VALUE!</v>
      </c>
      <c r="P95" s="2" t="e">
        <f t="shared" si="25"/>
        <v>#VALUE!</v>
      </c>
      <c r="Q95" s="2" t="e">
        <f t="shared" si="31"/>
        <v>#VALUE!</v>
      </c>
      <c r="R95" s="2" t="e">
        <f t="shared" si="32"/>
        <v>#VALUE!</v>
      </c>
      <c r="S95" s="2" t="str">
        <f t="shared" si="33"/>
        <v>N</v>
      </c>
      <c r="T95" s="2" t="b">
        <f t="shared" si="39"/>
        <v>0</v>
      </c>
      <c r="U95" s="2" t="b">
        <f t="shared" si="34"/>
        <v>0</v>
      </c>
      <c r="V95" s="2" t="b">
        <f t="shared" si="22"/>
        <v>0</v>
      </c>
      <c r="W95" s="2"/>
      <c r="X95" s="2">
        <v>4</v>
      </c>
    </row>
    <row r="96" spans="1:24" x14ac:dyDescent="0.25">
      <c r="A96" s="34">
        <v>44351</v>
      </c>
      <c r="B96" s="4"/>
      <c r="C96" s="5" t="str">
        <f t="shared" si="37"/>
        <v/>
      </c>
      <c r="D96" s="4" t="str">
        <f t="shared" si="26"/>
        <v/>
      </c>
      <c r="E96" s="4">
        <f t="shared" si="35"/>
        <v>80</v>
      </c>
      <c r="F96" s="34" t="e">
        <f t="shared" si="36"/>
        <v>#VALUE!</v>
      </c>
      <c r="G96" s="4" t="str">
        <f t="shared" si="23"/>
        <v/>
      </c>
      <c r="H96" s="5" t="str">
        <f t="shared" si="38"/>
        <v/>
      </c>
      <c r="I96" s="4"/>
      <c r="J96" s="2" t="str">
        <f t="shared" si="27"/>
        <v/>
      </c>
      <c r="K96" s="24" t="e">
        <f t="shared" si="28"/>
        <v>#VALUE!</v>
      </c>
      <c r="L96" s="24" t="e">
        <f t="shared" si="29"/>
        <v>#VALUE!</v>
      </c>
      <c r="M96" s="24" t="e">
        <f t="shared" si="30"/>
        <v>#VALUE!</v>
      </c>
      <c r="N96" s="2"/>
      <c r="O96" s="34" t="e">
        <f t="shared" si="24"/>
        <v>#VALUE!</v>
      </c>
      <c r="P96" s="2" t="e">
        <f t="shared" si="25"/>
        <v>#VALUE!</v>
      </c>
      <c r="Q96" s="2" t="e">
        <f t="shared" si="31"/>
        <v>#VALUE!</v>
      </c>
      <c r="R96" s="2" t="e">
        <f t="shared" si="32"/>
        <v>#VALUE!</v>
      </c>
      <c r="S96" s="2" t="str">
        <f t="shared" si="33"/>
        <v>N</v>
      </c>
      <c r="T96" s="2" t="b">
        <f t="shared" si="39"/>
        <v>0</v>
      </c>
      <c r="U96" s="2" t="b">
        <f t="shared" si="34"/>
        <v>0</v>
      </c>
      <c r="V96" s="2" t="b">
        <f t="shared" ref="V96:V115" si="40">ISNUMBER(O96)</f>
        <v>0</v>
      </c>
      <c r="W96" s="2"/>
      <c r="X96" s="2">
        <v>5</v>
      </c>
    </row>
    <row r="97" spans="1:24" x14ac:dyDescent="0.25">
      <c r="A97" s="34">
        <v>44358</v>
      </c>
      <c r="B97" s="4"/>
      <c r="C97" s="5" t="str">
        <f t="shared" si="37"/>
        <v/>
      </c>
      <c r="D97" s="4" t="str">
        <f t="shared" si="26"/>
        <v/>
      </c>
      <c r="E97" s="4">
        <f t="shared" si="35"/>
        <v>80</v>
      </c>
      <c r="F97" s="34" t="e">
        <f t="shared" si="36"/>
        <v>#VALUE!</v>
      </c>
      <c r="G97" s="4" t="str">
        <f t="shared" si="23"/>
        <v/>
      </c>
      <c r="H97" s="5" t="str">
        <f t="shared" si="38"/>
        <v/>
      </c>
      <c r="I97" s="4"/>
      <c r="J97" s="2" t="str">
        <f t="shared" si="27"/>
        <v/>
      </c>
      <c r="K97" s="24" t="e">
        <f t="shared" si="28"/>
        <v>#VALUE!</v>
      </c>
      <c r="L97" s="24" t="e">
        <f t="shared" si="29"/>
        <v>#VALUE!</v>
      </c>
      <c r="M97" s="24" t="e">
        <f t="shared" si="30"/>
        <v>#VALUE!</v>
      </c>
      <c r="N97" s="2"/>
      <c r="O97" s="34" t="e">
        <f t="shared" si="24"/>
        <v>#VALUE!</v>
      </c>
      <c r="P97" s="2" t="e">
        <f t="shared" si="25"/>
        <v>#VALUE!</v>
      </c>
      <c r="Q97" s="2" t="e">
        <f t="shared" si="31"/>
        <v>#VALUE!</v>
      </c>
      <c r="R97" s="2" t="e">
        <f t="shared" si="32"/>
        <v>#VALUE!</v>
      </c>
      <c r="S97" s="2" t="str">
        <f t="shared" si="33"/>
        <v>N</v>
      </c>
      <c r="T97" s="2" t="b">
        <f t="shared" si="39"/>
        <v>0</v>
      </c>
      <c r="U97" s="2" t="b">
        <f t="shared" si="34"/>
        <v>0</v>
      </c>
      <c r="V97" s="2" t="b">
        <f t="shared" si="40"/>
        <v>0</v>
      </c>
      <c r="W97" s="2"/>
      <c r="X97" s="2">
        <v>6</v>
      </c>
    </row>
    <row r="98" spans="1:24" x14ac:dyDescent="0.25">
      <c r="A98" s="34">
        <v>44365</v>
      </c>
      <c r="B98" s="4"/>
      <c r="C98" s="5" t="str">
        <f t="shared" si="37"/>
        <v/>
      </c>
      <c r="D98" s="4" t="str">
        <f t="shared" si="26"/>
        <v/>
      </c>
      <c r="E98" s="4">
        <f t="shared" si="35"/>
        <v>80</v>
      </c>
      <c r="F98" s="34" t="e">
        <f t="shared" si="36"/>
        <v>#VALUE!</v>
      </c>
      <c r="G98" s="4" t="str">
        <f t="shared" si="23"/>
        <v/>
      </c>
      <c r="H98" s="5" t="str">
        <f t="shared" si="38"/>
        <v/>
      </c>
      <c r="I98" s="4"/>
      <c r="J98" s="2" t="str">
        <f t="shared" si="27"/>
        <v/>
      </c>
      <c r="K98" s="24" t="e">
        <f t="shared" si="28"/>
        <v>#VALUE!</v>
      </c>
      <c r="L98" s="24" t="e">
        <f t="shared" si="29"/>
        <v>#VALUE!</v>
      </c>
      <c r="M98" s="24" t="e">
        <f t="shared" si="30"/>
        <v>#VALUE!</v>
      </c>
      <c r="N98" s="2"/>
      <c r="O98" s="34" t="e">
        <f t="shared" si="24"/>
        <v>#VALUE!</v>
      </c>
      <c r="P98" s="2" t="e">
        <f t="shared" si="25"/>
        <v>#VALUE!</v>
      </c>
      <c r="Q98" s="2" t="e">
        <f t="shared" si="31"/>
        <v>#VALUE!</v>
      </c>
      <c r="R98" s="2" t="e">
        <f t="shared" si="32"/>
        <v>#VALUE!</v>
      </c>
      <c r="S98" s="2" t="str">
        <f t="shared" si="33"/>
        <v>N</v>
      </c>
      <c r="T98" s="2" t="b">
        <f t="shared" si="39"/>
        <v>0</v>
      </c>
      <c r="U98" s="2" t="b">
        <f t="shared" si="34"/>
        <v>0</v>
      </c>
      <c r="V98" s="2" t="b">
        <f t="shared" si="40"/>
        <v>0</v>
      </c>
      <c r="W98" s="2"/>
      <c r="X98" s="2">
        <v>7</v>
      </c>
    </row>
    <row r="99" spans="1:24" x14ac:dyDescent="0.25">
      <c r="A99" s="34">
        <v>44372</v>
      </c>
      <c r="B99" s="4"/>
      <c r="C99" s="5" t="str">
        <f t="shared" si="37"/>
        <v/>
      </c>
      <c r="D99" s="4" t="str">
        <f t="shared" si="26"/>
        <v/>
      </c>
      <c r="E99" s="4">
        <f t="shared" si="35"/>
        <v>80</v>
      </c>
      <c r="F99" s="34" t="e">
        <f t="shared" si="36"/>
        <v>#VALUE!</v>
      </c>
      <c r="G99" s="4" t="str">
        <f t="shared" si="23"/>
        <v/>
      </c>
      <c r="H99" s="5" t="str">
        <f t="shared" si="38"/>
        <v/>
      </c>
      <c r="I99" s="4"/>
      <c r="J99" s="2" t="str">
        <f t="shared" si="27"/>
        <v/>
      </c>
      <c r="K99" s="24" t="e">
        <f t="shared" si="28"/>
        <v>#VALUE!</v>
      </c>
      <c r="L99" s="24" t="e">
        <f t="shared" si="29"/>
        <v>#VALUE!</v>
      </c>
      <c r="M99" s="24" t="e">
        <f t="shared" si="30"/>
        <v>#VALUE!</v>
      </c>
      <c r="N99" s="2"/>
      <c r="O99" s="34" t="e">
        <f t="shared" si="24"/>
        <v>#VALUE!</v>
      </c>
      <c r="P99" s="2" t="e">
        <f t="shared" si="25"/>
        <v>#VALUE!</v>
      </c>
      <c r="Q99" s="2" t="e">
        <f t="shared" si="31"/>
        <v>#VALUE!</v>
      </c>
      <c r="R99" s="2" t="e">
        <f t="shared" si="32"/>
        <v>#VALUE!</v>
      </c>
      <c r="S99" s="2" t="str">
        <f t="shared" si="33"/>
        <v>N</v>
      </c>
      <c r="T99" s="2" t="b">
        <f t="shared" si="39"/>
        <v>0</v>
      </c>
      <c r="U99" s="2" t="b">
        <f t="shared" si="34"/>
        <v>0</v>
      </c>
      <c r="V99" s="2" t="b">
        <f t="shared" si="40"/>
        <v>0</v>
      </c>
      <c r="W99" s="2"/>
      <c r="X99" s="2">
        <v>8</v>
      </c>
    </row>
    <row r="100" spans="1:24" x14ac:dyDescent="0.25">
      <c r="A100" s="34">
        <v>44379</v>
      </c>
      <c r="B100" s="4"/>
      <c r="C100" s="5" t="str">
        <f t="shared" si="37"/>
        <v/>
      </c>
      <c r="D100" s="4" t="str">
        <f t="shared" si="26"/>
        <v/>
      </c>
      <c r="E100" s="4">
        <f t="shared" si="35"/>
        <v>80</v>
      </c>
      <c r="F100" s="34" t="e">
        <f t="shared" si="36"/>
        <v>#VALUE!</v>
      </c>
      <c r="G100" s="4" t="str">
        <f t="shared" si="23"/>
        <v/>
      </c>
      <c r="H100" s="5" t="str">
        <f t="shared" si="38"/>
        <v/>
      </c>
      <c r="I100" s="4"/>
      <c r="J100" s="2" t="str">
        <f t="shared" si="27"/>
        <v/>
      </c>
      <c r="K100" s="24" t="e">
        <f t="shared" si="28"/>
        <v>#VALUE!</v>
      </c>
      <c r="L100" s="24" t="e">
        <f t="shared" si="29"/>
        <v>#VALUE!</v>
      </c>
      <c r="M100" s="24" t="e">
        <f t="shared" si="30"/>
        <v>#VALUE!</v>
      </c>
      <c r="N100" s="2"/>
      <c r="O100" s="34" t="e">
        <f t="shared" si="24"/>
        <v>#VALUE!</v>
      </c>
      <c r="P100" s="2" t="e">
        <f t="shared" si="25"/>
        <v>#VALUE!</v>
      </c>
      <c r="Q100" s="2" t="e">
        <f t="shared" si="31"/>
        <v>#VALUE!</v>
      </c>
      <c r="R100" s="2" t="e">
        <f t="shared" si="32"/>
        <v>#VALUE!</v>
      </c>
      <c r="S100" s="2" t="str">
        <f t="shared" si="33"/>
        <v>N</v>
      </c>
      <c r="T100" s="2" t="b">
        <f t="shared" si="39"/>
        <v>0</v>
      </c>
      <c r="U100" s="2" t="b">
        <f t="shared" si="34"/>
        <v>0</v>
      </c>
      <c r="V100" s="2" t="b">
        <f t="shared" si="40"/>
        <v>0</v>
      </c>
      <c r="W100" s="2"/>
      <c r="X100" s="2">
        <v>9</v>
      </c>
    </row>
    <row r="101" spans="1:24" x14ac:dyDescent="0.25">
      <c r="A101" s="34">
        <v>44386</v>
      </c>
      <c r="B101" s="4"/>
      <c r="C101" s="5" t="str">
        <f t="shared" si="37"/>
        <v/>
      </c>
      <c r="D101" s="4" t="str">
        <f t="shared" si="26"/>
        <v/>
      </c>
      <c r="E101" s="4">
        <f t="shared" si="35"/>
        <v>80</v>
      </c>
      <c r="F101" s="34" t="e">
        <f t="shared" si="36"/>
        <v>#VALUE!</v>
      </c>
      <c r="G101" s="4" t="str">
        <f t="shared" si="23"/>
        <v/>
      </c>
      <c r="H101" s="5" t="str">
        <f t="shared" si="38"/>
        <v/>
      </c>
      <c r="I101" s="4"/>
      <c r="J101" s="2" t="str">
        <f t="shared" si="27"/>
        <v/>
      </c>
      <c r="K101" s="24" t="e">
        <f t="shared" si="28"/>
        <v>#VALUE!</v>
      </c>
      <c r="L101" s="24" t="e">
        <f t="shared" si="29"/>
        <v>#VALUE!</v>
      </c>
      <c r="M101" s="24" t="e">
        <f t="shared" si="30"/>
        <v>#VALUE!</v>
      </c>
      <c r="N101" s="2"/>
      <c r="O101" s="34" t="e">
        <f t="shared" si="24"/>
        <v>#VALUE!</v>
      </c>
      <c r="P101" s="2" t="e">
        <f t="shared" si="25"/>
        <v>#VALUE!</v>
      </c>
      <c r="Q101" s="2" t="e">
        <f t="shared" si="31"/>
        <v>#VALUE!</v>
      </c>
      <c r="R101" s="2" t="e">
        <f t="shared" si="32"/>
        <v>#VALUE!</v>
      </c>
      <c r="S101" s="2" t="str">
        <f t="shared" si="33"/>
        <v>N</v>
      </c>
      <c r="T101" s="2" t="b">
        <f t="shared" si="39"/>
        <v>0</v>
      </c>
      <c r="U101" s="2" t="b">
        <f t="shared" si="34"/>
        <v>0</v>
      </c>
      <c r="V101" s="2" t="b">
        <f t="shared" si="40"/>
        <v>0</v>
      </c>
      <c r="W101" s="2"/>
      <c r="X101" s="2">
        <v>10</v>
      </c>
    </row>
    <row r="102" spans="1:24" x14ac:dyDescent="0.25">
      <c r="A102" s="34">
        <v>44393</v>
      </c>
      <c r="B102" s="4"/>
      <c r="C102" s="5" t="str">
        <f t="shared" si="37"/>
        <v/>
      </c>
      <c r="D102" s="4" t="str">
        <f t="shared" si="26"/>
        <v/>
      </c>
      <c r="E102" s="4">
        <f t="shared" si="35"/>
        <v>80</v>
      </c>
      <c r="F102" s="34" t="e">
        <f t="shared" si="36"/>
        <v>#VALUE!</v>
      </c>
      <c r="G102" s="4" t="str">
        <f t="shared" si="23"/>
        <v/>
      </c>
      <c r="H102" s="5" t="str">
        <f t="shared" si="38"/>
        <v/>
      </c>
      <c r="I102" s="4"/>
      <c r="J102" s="2" t="str">
        <f t="shared" si="27"/>
        <v/>
      </c>
      <c r="K102" s="24" t="e">
        <f t="shared" si="28"/>
        <v>#VALUE!</v>
      </c>
      <c r="L102" s="24" t="e">
        <f t="shared" si="29"/>
        <v>#VALUE!</v>
      </c>
      <c r="M102" s="24" t="e">
        <f t="shared" si="30"/>
        <v>#VALUE!</v>
      </c>
      <c r="N102" s="2"/>
      <c r="O102" s="34" t="e">
        <f t="shared" si="24"/>
        <v>#VALUE!</v>
      </c>
      <c r="P102" s="2" t="e">
        <f t="shared" si="25"/>
        <v>#VALUE!</v>
      </c>
      <c r="Q102" s="2" t="e">
        <f t="shared" si="31"/>
        <v>#VALUE!</v>
      </c>
      <c r="R102" s="2" t="e">
        <f t="shared" si="32"/>
        <v>#VALUE!</v>
      </c>
      <c r="S102" s="2" t="str">
        <f t="shared" si="33"/>
        <v>N</v>
      </c>
      <c r="T102" s="2" t="b">
        <f t="shared" si="39"/>
        <v>0</v>
      </c>
      <c r="U102" s="2" t="b">
        <f t="shared" si="34"/>
        <v>0</v>
      </c>
      <c r="V102" s="2" t="b">
        <f t="shared" si="40"/>
        <v>0</v>
      </c>
      <c r="W102" s="2"/>
      <c r="X102" s="2">
        <v>20</v>
      </c>
    </row>
    <row r="103" spans="1:24" x14ac:dyDescent="0.25">
      <c r="A103" s="34">
        <v>44400</v>
      </c>
      <c r="B103" s="4"/>
      <c r="C103" s="5" t="str">
        <f t="shared" si="37"/>
        <v/>
      </c>
      <c r="D103" s="4" t="str">
        <f t="shared" si="26"/>
        <v/>
      </c>
      <c r="E103" s="4">
        <f t="shared" si="35"/>
        <v>80</v>
      </c>
      <c r="F103" s="34" t="e">
        <f t="shared" si="36"/>
        <v>#VALUE!</v>
      </c>
      <c r="G103" s="4" t="str">
        <f t="shared" si="23"/>
        <v/>
      </c>
      <c r="H103" s="5" t="str">
        <f t="shared" si="38"/>
        <v/>
      </c>
      <c r="I103" s="4"/>
      <c r="J103" s="2" t="str">
        <f t="shared" si="27"/>
        <v/>
      </c>
      <c r="K103" s="24" t="e">
        <f t="shared" si="28"/>
        <v>#VALUE!</v>
      </c>
      <c r="L103" s="24" t="e">
        <f t="shared" si="29"/>
        <v>#VALUE!</v>
      </c>
      <c r="M103" s="24" t="e">
        <f t="shared" si="30"/>
        <v>#VALUE!</v>
      </c>
      <c r="N103" s="2"/>
      <c r="O103" s="34" t="e">
        <f t="shared" si="24"/>
        <v>#VALUE!</v>
      </c>
      <c r="P103" s="2" t="e">
        <f t="shared" si="25"/>
        <v>#VALUE!</v>
      </c>
      <c r="Q103" s="2" t="e">
        <f t="shared" si="31"/>
        <v>#VALUE!</v>
      </c>
      <c r="R103" s="2" t="e">
        <f t="shared" si="32"/>
        <v>#VALUE!</v>
      </c>
      <c r="S103" s="2" t="str">
        <f t="shared" si="33"/>
        <v>N</v>
      </c>
      <c r="T103" s="2" t="b">
        <f t="shared" si="39"/>
        <v>0</v>
      </c>
      <c r="U103" s="2" t="b">
        <f t="shared" si="34"/>
        <v>0</v>
      </c>
      <c r="V103" s="2" t="b">
        <f t="shared" si="40"/>
        <v>0</v>
      </c>
      <c r="W103" s="2"/>
      <c r="X103" s="2">
        <v>30</v>
      </c>
    </row>
    <row r="104" spans="1:24" x14ac:dyDescent="0.25">
      <c r="A104" s="34">
        <v>44407</v>
      </c>
      <c r="B104" s="4"/>
      <c r="C104" s="5" t="str">
        <f t="shared" si="37"/>
        <v/>
      </c>
      <c r="D104" s="4" t="str">
        <f t="shared" si="26"/>
        <v/>
      </c>
      <c r="E104" s="4">
        <f t="shared" si="35"/>
        <v>80</v>
      </c>
      <c r="F104" s="34" t="e">
        <f t="shared" si="36"/>
        <v>#VALUE!</v>
      </c>
      <c r="G104" s="4" t="str">
        <f t="shared" si="23"/>
        <v/>
      </c>
      <c r="H104" s="5" t="str">
        <f t="shared" si="38"/>
        <v/>
      </c>
      <c r="I104" s="4"/>
      <c r="J104" s="2" t="str">
        <f t="shared" si="27"/>
        <v/>
      </c>
      <c r="K104" s="24" t="e">
        <f t="shared" si="28"/>
        <v>#VALUE!</v>
      </c>
      <c r="L104" s="24" t="e">
        <f t="shared" si="29"/>
        <v>#VALUE!</v>
      </c>
      <c r="M104" s="24" t="e">
        <f t="shared" si="30"/>
        <v>#VALUE!</v>
      </c>
      <c r="N104" s="2"/>
      <c r="O104" s="34" t="e">
        <f t="shared" si="24"/>
        <v>#VALUE!</v>
      </c>
      <c r="P104" s="2" t="e">
        <f t="shared" si="25"/>
        <v>#VALUE!</v>
      </c>
      <c r="Q104" s="2" t="e">
        <f t="shared" si="31"/>
        <v>#VALUE!</v>
      </c>
      <c r="R104" s="2" t="e">
        <f t="shared" si="32"/>
        <v>#VALUE!</v>
      </c>
      <c r="S104" s="2" t="str">
        <f t="shared" si="33"/>
        <v>N</v>
      </c>
      <c r="T104" s="2" t="b">
        <f t="shared" si="39"/>
        <v>0</v>
      </c>
      <c r="U104" s="2" t="b">
        <f t="shared" si="34"/>
        <v>0</v>
      </c>
      <c r="V104" s="2" t="b">
        <f t="shared" si="40"/>
        <v>0</v>
      </c>
      <c r="W104" s="2"/>
      <c r="X104" s="2">
        <v>45</v>
      </c>
    </row>
    <row r="105" spans="1:24" x14ac:dyDescent="0.25">
      <c r="A105" s="34">
        <v>44414</v>
      </c>
      <c r="B105" s="4"/>
      <c r="C105" s="5" t="str">
        <f t="shared" si="37"/>
        <v/>
      </c>
      <c r="D105" s="4" t="str">
        <f t="shared" si="26"/>
        <v/>
      </c>
      <c r="E105" s="4">
        <f t="shared" si="35"/>
        <v>80</v>
      </c>
      <c r="F105" s="34" t="e">
        <f t="shared" si="36"/>
        <v>#VALUE!</v>
      </c>
      <c r="G105" s="4" t="str">
        <f t="shared" si="23"/>
        <v/>
      </c>
      <c r="H105" s="5" t="str">
        <f t="shared" si="38"/>
        <v/>
      </c>
      <c r="I105" s="4"/>
      <c r="J105" s="2" t="str">
        <f t="shared" si="27"/>
        <v/>
      </c>
      <c r="K105" s="24" t="e">
        <f t="shared" si="28"/>
        <v>#VALUE!</v>
      </c>
      <c r="L105" s="24" t="e">
        <f t="shared" si="29"/>
        <v>#VALUE!</v>
      </c>
      <c r="M105" s="24" t="e">
        <f t="shared" si="30"/>
        <v>#VALUE!</v>
      </c>
      <c r="N105" s="2"/>
      <c r="O105" s="34" t="e">
        <f t="shared" si="24"/>
        <v>#VALUE!</v>
      </c>
      <c r="P105" s="2" t="e">
        <f t="shared" si="25"/>
        <v>#VALUE!</v>
      </c>
      <c r="Q105" s="2" t="e">
        <f t="shared" si="31"/>
        <v>#VALUE!</v>
      </c>
      <c r="R105" s="2" t="e">
        <f t="shared" si="32"/>
        <v>#VALUE!</v>
      </c>
      <c r="S105" s="2" t="str">
        <f t="shared" si="33"/>
        <v>N</v>
      </c>
      <c r="T105" s="2" t="b">
        <f t="shared" si="39"/>
        <v>0</v>
      </c>
      <c r="U105" s="2" t="b">
        <f t="shared" si="34"/>
        <v>0</v>
      </c>
      <c r="V105" s="2" t="b">
        <f t="shared" si="40"/>
        <v>0</v>
      </c>
      <c r="W105" s="2"/>
      <c r="X105" s="2">
        <v>60</v>
      </c>
    </row>
    <row r="106" spans="1:24" x14ac:dyDescent="0.25">
      <c r="A106" s="34">
        <v>44421</v>
      </c>
      <c r="B106" s="4"/>
      <c r="C106" s="5" t="str">
        <f t="shared" si="37"/>
        <v/>
      </c>
      <c r="D106" s="4" t="str">
        <f t="shared" si="26"/>
        <v/>
      </c>
      <c r="E106" s="4">
        <f t="shared" si="35"/>
        <v>80</v>
      </c>
      <c r="F106" s="34" t="e">
        <f t="shared" si="36"/>
        <v>#VALUE!</v>
      </c>
      <c r="G106" s="4" t="str">
        <f t="shared" si="23"/>
        <v/>
      </c>
      <c r="H106" s="5" t="str">
        <f t="shared" si="38"/>
        <v/>
      </c>
      <c r="I106" s="4"/>
      <c r="J106" s="2" t="str">
        <f t="shared" si="27"/>
        <v/>
      </c>
      <c r="K106" s="24" t="e">
        <f t="shared" si="28"/>
        <v>#VALUE!</v>
      </c>
      <c r="L106" s="24" t="e">
        <f t="shared" si="29"/>
        <v>#VALUE!</v>
      </c>
      <c r="M106" s="24" t="e">
        <f t="shared" si="30"/>
        <v>#VALUE!</v>
      </c>
      <c r="N106" s="2"/>
      <c r="O106" s="34" t="e">
        <f t="shared" si="24"/>
        <v>#VALUE!</v>
      </c>
      <c r="P106" s="2" t="e">
        <f t="shared" si="25"/>
        <v>#VALUE!</v>
      </c>
      <c r="Q106" s="2" t="e">
        <f t="shared" si="31"/>
        <v>#VALUE!</v>
      </c>
      <c r="R106" s="2" t="e">
        <f t="shared" si="32"/>
        <v>#VALUE!</v>
      </c>
      <c r="S106" s="2" t="str">
        <f t="shared" si="33"/>
        <v>N</v>
      </c>
      <c r="T106" s="2" t="b">
        <f t="shared" si="39"/>
        <v>0</v>
      </c>
      <c r="U106" s="2" t="b">
        <f t="shared" si="34"/>
        <v>0</v>
      </c>
      <c r="V106" s="2" t="b">
        <f t="shared" si="40"/>
        <v>0</v>
      </c>
      <c r="W106" s="2"/>
      <c r="X106" s="2">
        <v>120</v>
      </c>
    </row>
    <row r="107" spans="1:24" x14ac:dyDescent="0.25">
      <c r="A107" s="34">
        <v>44428</v>
      </c>
      <c r="B107" s="4"/>
      <c r="C107" s="5" t="str">
        <f t="shared" si="37"/>
        <v/>
      </c>
      <c r="D107" s="4" t="str">
        <f t="shared" si="26"/>
        <v/>
      </c>
      <c r="E107" s="4">
        <f t="shared" si="35"/>
        <v>80</v>
      </c>
      <c r="F107" s="34" t="e">
        <f t="shared" si="36"/>
        <v>#VALUE!</v>
      </c>
      <c r="G107" s="4" t="str">
        <f t="shared" si="23"/>
        <v/>
      </c>
      <c r="H107" s="5" t="str">
        <f t="shared" si="38"/>
        <v/>
      </c>
      <c r="I107" s="4"/>
      <c r="J107" s="2" t="str">
        <f t="shared" si="27"/>
        <v/>
      </c>
      <c r="K107" s="24" t="e">
        <f t="shared" si="28"/>
        <v>#VALUE!</v>
      </c>
      <c r="L107" s="24" t="e">
        <f t="shared" si="29"/>
        <v>#VALUE!</v>
      </c>
      <c r="M107" s="24" t="e">
        <f t="shared" si="30"/>
        <v>#VALUE!</v>
      </c>
      <c r="N107" s="2"/>
      <c r="O107" s="34" t="e">
        <f t="shared" si="24"/>
        <v>#VALUE!</v>
      </c>
      <c r="P107" s="2" t="e">
        <f t="shared" si="25"/>
        <v>#VALUE!</v>
      </c>
      <c r="Q107" s="2" t="e">
        <f t="shared" si="31"/>
        <v>#VALUE!</v>
      </c>
      <c r="R107" s="2" t="e">
        <f t="shared" si="32"/>
        <v>#VALUE!</v>
      </c>
      <c r="S107" s="2" t="str">
        <f t="shared" si="33"/>
        <v>N</v>
      </c>
      <c r="T107" s="2" t="b">
        <f t="shared" si="39"/>
        <v>0</v>
      </c>
      <c r="U107" s="2" t="b">
        <f t="shared" si="34"/>
        <v>0</v>
      </c>
      <c r="V107" s="2" t="b">
        <f t="shared" si="40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37"/>
        <v/>
      </c>
      <c r="D108" s="4" t="str">
        <f t="shared" si="26"/>
        <v/>
      </c>
      <c r="E108" s="4">
        <f t="shared" si="35"/>
        <v>80</v>
      </c>
      <c r="F108" s="34" t="e">
        <f t="shared" si="36"/>
        <v>#VALUE!</v>
      </c>
      <c r="G108" s="4" t="str">
        <f t="shared" si="23"/>
        <v/>
      </c>
      <c r="H108" s="5" t="str">
        <f t="shared" si="38"/>
        <v/>
      </c>
      <c r="I108" s="4"/>
      <c r="J108" s="2" t="str">
        <f t="shared" si="27"/>
        <v/>
      </c>
      <c r="K108" s="24" t="e">
        <f t="shared" si="28"/>
        <v>#VALUE!</v>
      </c>
      <c r="L108" s="24" t="e">
        <f t="shared" si="29"/>
        <v>#VALUE!</v>
      </c>
      <c r="M108" s="24" t="e">
        <f t="shared" si="30"/>
        <v>#VALUE!</v>
      </c>
      <c r="N108" s="2"/>
      <c r="O108" s="34" t="e">
        <f t="shared" si="24"/>
        <v>#VALUE!</v>
      </c>
      <c r="P108" s="2" t="e">
        <f t="shared" si="25"/>
        <v>#VALUE!</v>
      </c>
      <c r="Q108" s="2" t="e">
        <f t="shared" si="31"/>
        <v>#VALUE!</v>
      </c>
      <c r="R108" s="2" t="e">
        <f t="shared" si="32"/>
        <v>#VALUE!</v>
      </c>
      <c r="S108" s="2" t="str">
        <f t="shared" si="33"/>
        <v>N</v>
      </c>
      <c r="T108" s="2" t="b">
        <f t="shared" si="39"/>
        <v>0</v>
      </c>
      <c r="U108" s="2" t="b">
        <f t="shared" si="34"/>
        <v>0</v>
      </c>
      <c r="V108" s="2" t="b">
        <f t="shared" si="40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37"/>
        <v/>
      </c>
      <c r="D109" s="4" t="str">
        <f t="shared" si="26"/>
        <v/>
      </c>
      <c r="E109" s="4">
        <f t="shared" si="35"/>
        <v>80</v>
      </c>
      <c r="F109" s="34" t="e">
        <f t="shared" si="36"/>
        <v>#VALUE!</v>
      </c>
      <c r="G109" s="4" t="str">
        <f t="shared" si="23"/>
        <v/>
      </c>
      <c r="H109" s="5" t="str">
        <f t="shared" si="38"/>
        <v/>
      </c>
      <c r="I109" s="4"/>
      <c r="J109" s="2" t="str">
        <f t="shared" si="27"/>
        <v/>
      </c>
      <c r="K109" s="24" t="e">
        <f t="shared" si="28"/>
        <v>#VALUE!</v>
      </c>
      <c r="L109" s="24" t="e">
        <f t="shared" si="29"/>
        <v>#VALUE!</v>
      </c>
      <c r="M109" s="24" t="e">
        <f t="shared" si="30"/>
        <v>#VALUE!</v>
      </c>
      <c r="N109" s="2"/>
      <c r="O109" s="34" t="e">
        <f t="shared" si="24"/>
        <v>#VALUE!</v>
      </c>
      <c r="P109" s="2" t="e">
        <f t="shared" si="25"/>
        <v>#VALUE!</v>
      </c>
      <c r="Q109" s="2" t="e">
        <f t="shared" si="31"/>
        <v>#VALUE!</v>
      </c>
      <c r="R109" s="2" t="e">
        <f t="shared" si="32"/>
        <v>#VALUE!</v>
      </c>
      <c r="S109" s="2" t="str">
        <f t="shared" si="33"/>
        <v>N</v>
      </c>
      <c r="T109" s="2" t="b">
        <f t="shared" si="39"/>
        <v>0</v>
      </c>
      <c r="U109" s="2" t="b">
        <f t="shared" si="34"/>
        <v>0</v>
      </c>
      <c r="V109" s="2" t="b">
        <f t="shared" si="40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37"/>
        <v/>
      </c>
      <c r="D110" s="4" t="str">
        <f t="shared" si="26"/>
        <v/>
      </c>
      <c r="E110" s="4">
        <f t="shared" si="35"/>
        <v>80</v>
      </c>
      <c r="F110" s="34" t="e">
        <f t="shared" si="36"/>
        <v>#VALUE!</v>
      </c>
      <c r="G110" s="4" t="str">
        <f t="shared" si="23"/>
        <v/>
      </c>
      <c r="H110" s="5" t="str">
        <f t="shared" si="38"/>
        <v/>
      </c>
      <c r="I110" s="4"/>
      <c r="J110" s="2" t="str">
        <f t="shared" si="27"/>
        <v/>
      </c>
      <c r="K110" s="24" t="e">
        <f t="shared" si="28"/>
        <v>#VALUE!</v>
      </c>
      <c r="L110" s="24" t="e">
        <f t="shared" si="29"/>
        <v>#VALUE!</v>
      </c>
      <c r="M110" s="24" t="e">
        <f t="shared" si="30"/>
        <v>#VALUE!</v>
      </c>
      <c r="N110" s="2"/>
      <c r="O110" s="34" t="e">
        <f t="shared" si="24"/>
        <v>#VALUE!</v>
      </c>
      <c r="P110" s="2" t="e">
        <f t="shared" si="25"/>
        <v>#VALUE!</v>
      </c>
      <c r="Q110" s="2" t="e">
        <f t="shared" si="31"/>
        <v>#VALUE!</v>
      </c>
      <c r="R110" s="2" t="e">
        <f t="shared" si="32"/>
        <v>#VALUE!</v>
      </c>
      <c r="S110" s="2" t="str">
        <f t="shared" si="33"/>
        <v>N</v>
      </c>
      <c r="T110" s="2" t="b">
        <f t="shared" si="39"/>
        <v>0</v>
      </c>
      <c r="U110" s="2" t="b">
        <f t="shared" si="34"/>
        <v>0</v>
      </c>
      <c r="V110" s="2" t="b">
        <f t="shared" si="40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37"/>
        <v/>
      </c>
      <c r="D111" s="4" t="str">
        <f t="shared" si="26"/>
        <v/>
      </c>
      <c r="E111" s="4">
        <f t="shared" si="35"/>
        <v>80</v>
      </c>
      <c r="F111" s="34" t="e">
        <f t="shared" si="36"/>
        <v>#VALUE!</v>
      </c>
      <c r="G111" s="4" t="str">
        <f t="shared" si="23"/>
        <v/>
      </c>
      <c r="H111" s="5" t="str">
        <f t="shared" si="38"/>
        <v/>
      </c>
      <c r="I111" s="4"/>
      <c r="J111" s="2" t="str">
        <f t="shared" si="27"/>
        <v/>
      </c>
      <c r="K111" s="24" t="e">
        <f t="shared" si="28"/>
        <v>#VALUE!</v>
      </c>
      <c r="L111" s="24" t="e">
        <f t="shared" si="29"/>
        <v>#VALUE!</v>
      </c>
      <c r="M111" s="24" t="e">
        <f t="shared" si="30"/>
        <v>#VALUE!</v>
      </c>
      <c r="N111" s="2"/>
      <c r="O111" s="34" t="e">
        <f t="shared" si="24"/>
        <v>#VALUE!</v>
      </c>
      <c r="P111" s="2" t="e">
        <f t="shared" si="25"/>
        <v>#VALUE!</v>
      </c>
      <c r="Q111" s="2" t="e">
        <f t="shared" si="31"/>
        <v>#VALUE!</v>
      </c>
      <c r="R111" s="2" t="e">
        <f t="shared" si="32"/>
        <v>#VALUE!</v>
      </c>
      <c r="S111" s="2" t="str">
        <f t="shared" si="33"/>
        <v>N</v>
      </c>
      <c r="T111" s="2" t="b">
        <f t="shared" si="39"/>
        <v>0</v>
      </c>
      <c r="U111" s="2" t="b">
        <f t="shared" si="34"/>
        <v>0</v>
      </c>
      <c r="V111" s="2" t="b">
        <f t="shared" si="40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37"/>
        <v/>
      </c>
      <c r="D112" s="4" t="str">
        <f t="shared" si="26"/>
        <v/>
      </c>
      <c r="E112" s="4">
        <f t="shared" si="35"/>
        <v>80</v>
      </c>
      <c r="F112" s="34" t="e">
        <f t="shared" si="36"/>
        <v>#VALUE!</v>
      </c>
      <c r="G112" s="4" t="str">
        <f t="shared" si="23"/>
        <v/>
      </c>
      <c r="H112" s="5" t="str">
        <f t="shared" si="38"/>
        <v/>
      </c>
      <c r="I112" s="4"/>
      <c r="J112" s="2" t="str">
        <f t="shared" si="27"/>
        <v/>
      </c>
      <c r="K112" s="24" t="e">
        <f t="shared" si="28"/>
        <v>#VALUE!</v>
      </c>
      <c r="L112" s="24" t="e">
        <f t="shared" si="29"/>
        <v>#VALUE!</v>
      </c>
      <c r="M112" s="24" t="e">
        <f t="shared" si="30"/>
        <v>#VALUE!</v>
      </c>
      <c r="N112" s="2"/>
      <c r="O112" s="34" t="e">
        <f t="shared" si="24"/>
        <v>#VALUE!</v>
      </c>
      <c r="P112" s="2" t="e">
        <f t="shared" si="25"/>
        <v>#VALUE!</v>
      </c>
      <c r="Q112" s="2" t="e">
        <f t="shared" si="31"/>
        <v>#VALUE!</v>
      </c>
      <c r="R112" s="2" t="e">
        <f t="shared" si="32"/>
        <v>#VALUE!</v>
      </c>
      <c r="S112" s="2" t="str">
        <f t="shared" si="33"/>
        <v>N</v>
      </c>
      <c r="T112" s="2" t="b">
        <f t="shared" si="39"/>
        <v>0</v>
      </c>
      <c r="U112" s="2" t="b">
        <f t="shared" si="34"/>
        <v>0</v>
      </c>
      <c r="V112" s="2" t="b">
        <f t="shared" si="40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37"/>
        <v/>
      </c>
      <c r="D113" s="4" t="str">
        <f t="shared" si="26"/>
        <v/>
      </c>
      <c r="E113" s="4">
        <f t="shared" si="35"/>
        <v>80</v>
      </c>
      <c r="F113" s="34" t="e">
        <f t="shared" si="36"/>
        <v>#VALUE!</v>
      </c>
      <c r="G113" s="4" t="str">
        <f t="shared" si="23"/>
        <v/>
      </c>
      <c r="H113" s="5" t="str">
        <f t="shared" si="38"/>
        <v/>
      </c>
      <c r="I113" s="4"/>
      <c r="J113" s="2" t="str">
        <f t="shared" si="27"/>
        <v/>
      </c>
      <c r="K113" s="24" t="e">
        <f t="shared" si="28"/>
        <v>#VALUE!</v>
      </c>
      <c r="L113" s="24" t="e">
        <f t="shared" si="29"/>
        <v>#VALUE!</v>
      </c>
      <c r="M113" s="24" t="e">
        <f t="shared" si="30"/>
        <v>#VALUE!</v>
      </c>
      <c r="N113" s="2"/>
      <c r="O113" s="34" t="e">
        <f t="shared" si="24"/>
        <v>#VALUE!</v>
      </c>
      <c r="P113" s="2" t="e">
        <f t="shared" si="25"/>
        <v>#VALUE!</v>
      </c>
      <c r="Q113" s="2" t="e">
        <f t="shared" si="31"/>
        <v>#VALUE!</v>
      </c>
      <c r="R113" s="2" t="e">
        <f t="shared" si="32"/>
        <v>#VALUE!</v>
      </c>
      <c r="S113" s="2" t="str">
        <f t="shared" si="33"/>
        <v>N</v>
      </c>
      <c r="T113" s="2" t="b">
        <f t="shared" si="39"/>
        <v>0</v>
      </c>
      <c r="U113" s="2" t="b">
        <f t="shared" si="34"/>
        <v>0</v>
      </c>
      <c r="V113" s="2" t="b">
        <f t="shared" si="40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3"/>
        <v/>
      </c>
      <c r="H114" s="5"/>
      <c r="I114" s="4"/>
      <c r="J114" s="2" t="str">
        <f>(IF(I114="","",I114))</f>
        <v/>
      </c>
      <c r="K114" s="24" t="e">
        <f t="shared" si="28"/>
        <v>#VALUE!</v>
      </c>
      <c r="L114" s="24" t="e">
        <f t="shared" si="29"/>
        <v>#VALUE!</v>
      </c>
      <c r="M114" s="24" t="e">
        <f t="shared" si="30"/>
        <v>#VALUE!</v>
      </c>
      <c r="N114" s="2"/>
      <c r="O114" s="34" t="e">
        <f t="shared" si="24"/>
        <v>#VALUE!</v>
      </c>
      <c r="P114" s="2" t="e">
        <f t="shared" si="25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9"/>
        <v>0</v>
      </c>
      <c r="U114" s="2" t="b">
        <f>ISTEXT(O114)</f>
        <v>0</v>
      </c>
      <c r="V114" s="2" t="b">
        <f t="shared" si="40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 t="shared" ref="D115" si="41">IF(I115="","",B115+D114)</f>
        <v/>
      </c>
      <c r="E115" s="4">
        <f>IF(I115&lt;&gt;"",IF(D116="",D115+$C$2,""),E114+$C$2)</f>
        <v>0</v>
      </c>
      <c r="F115" s="34"/>
      <c r="G115" s="4" t="str">
        <f t="shared" si="23"/>
        <v/>
      </c>
      <c r="H115" s="5"/>
      <c r="I115" s="4"/>
      <c r="J115" s="2" t="str">
        <f t="shared" ref="J115" si="42">(IF(I115="","",I115+J114))</f>
        <v/>
      </c>
      <c r="K115" s="24" t="e">
        <f t="shared" si="28"/>
        <v>#VALUE!</v>
      </c>
      <c r="L115" s="24" t="e">
        <f t="shared" si="29"/>
        <v>#VALUE!</v>
      </c>
      <c r="M115" s="24" t="e">
        <f t="shared" si="30"/>
        <v>#VALUE!</v>
      </c>
      <c r="N115" s="2"/>
      <c r="O115" s="34" t="e">
        <f t="shared" si="24"/>
        <v>#VALUE!</v>
      </c>
      <c r="P115" s="2" t="e">
        <f t="shared" si="25"/>
        <v>#VALUE!</v>
      </c>
      <c r="Q115" s="2" t="e">
        <f t="shared" ref="Q115" si="43">IF(K115&gt;E115,"Y","N")</f>
        <v>#VALUE!</v>
      </c>
      <c r="R115" s="2" t="e">
        <f t="shared" ref="R115" si="44">IF(M115&gt;E115,"Y","N")</f>
        <v>#VALUE!</v>
      </c>
      <c r="S115" s="2" t="str">
        <f t="shared" ref="S115" si="45">IF(AND(ISBLANK(I116),NOT(ISBLANK(I115))),"Y","N")</f>
        <v>N</v>
      </c>
      <c r="T115" s="2" t="b">
        <f t="shared" si="39"/>
        <v>0</v>
      </c>
      <c r="U115" s="2" t="b">
        <f t="shared" ref="U115" si="46">ISTEXT(O115)</f>
        <v>0</v>
      </c>
      <c r="V115" s="2" t="b">
        <f t="shared" si="40"/>
        <v>0</v>
      </c>
      <c r="W115" s="2"/>
      <c r="X115" s="1">
        <v>1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A14" sqref="A14"/>
    </sheetView>
  </sheetViews>
  <sheetFormatPr defaultRowHeight="12.5" x14ac:dyDescent="0.25"/>
  <sheetData>
    <row r="1" spans="1:1" x14ac:dyDescent="0.25">
      <c r="A1">
        <v>3</v>
      </c>
    </row>
    <row r="2" spans="1:1" x14ac:dyDescent="0.25">
      <c r="A2">
        <v>3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3</v>
      </c>
    </row>
    <row r="6" spans="1:1" x14ac:dyDescent="0.25">
      <c r="A6">
        <v>3</v>
      </c>
    </row>
    <row r="7" spans="1:1" x14ac:dyDescent="0.25">
      <c r="A7">
        <v>3</v>
      </c>
    </row>
    <row r="8" spans="1:1" x14ac:dyDescent="0.25">
      <c r="A8">
        <v>3</v>
      </c>
    </row>
    <row r="9" spans="1:1" x14ac:dyDescent="0.25">
      <c r="A9">
        <v>3</v>
      </c>
    </row>
    <row r="10" spans="1:1" x14ac:dyDescent="0.25">
      <c r="A10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3</v>
      </c>
    </row>
    <row r="2" spans="1:1" x14ac:dyDescent="0.25">
      <c r="A2">
        <v>3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3</v>
      </c>
    </row>
    <row r="6" spans="1:1" x14ac:dyDescent="0.25">
      <c r="A6">
        <v>3</v>
      </c>
    </row>
    <row r="7" spans="1:1" x14ac:dyDescent="0.25">
      <c r="A7">
        <v>3</v>
      </c>
    </row>
    <row r="8" spans="1:1" x14ac:dyDescent="0.25">
      <c r="A8">
        <v>3</v>
      </c>
    </row>
    <row r="9" spans="1:1" x14ac:dyDescent="0.25">
      <c r="A9">
        <v>3</v>
      </c>
    </row>
    <row r="10" spans="1:1" x14ac:dyDescent="0.25">
      <c r="A10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89"/>
  <sheetViews>
    <sheetView zoomScale="51" zoomScaleNormal="5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14" sqref="D114:D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29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29" ht="13" thickBot="1" x14ac:dyDescent="0.3">
      <c r="P3" s="41">
        <f>COUNTIF(P5:P113,"Y")</f>
        <v>0</v>
      </c>
      <c r="Q3" s="41">
        <f>COUNTIF(Q5:Q113,"Y")</f>
        <v>0</v>
      </c>
      <c r="R3" s="41">
        <f>COUNTIF(R5:R113,"Y")</f>
        <v>0</v>
      </c>
    </row>
    <row r="4" spans="1:29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</row>
    <row r="5" spans="1:29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/>
      <c r="AC6" s="2" t="str">
        <f t="shared" ref="AC6" si="14">(IF(AB6="","",AB6+AC5))</f>
        <v/>
      </c>
    </row>
    <row r="7" spans="1:29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5">IF(I7&lt;&gt;"",IF(D8="",D7+$C$2,""),E6+$C$2)</f>
        <v>80</v>
      </c>
      <c r="F7" s="34" t="e">
        <f t="shared" ref="F7:F70" si="16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5"/>
        <v>80</v>
      </c>
      <c r="F8" s="34" t="e">
        <f t="shared" si="16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x14ac:dyDescent="0.25">
      <c r="A9" s="34">
        <v>43742</v>
      </c>
      <c r="B9" s="4"/>
      <c r="C9" s="5" t="str">
        <f t="shared" ref="C9:C72" si="17">IF(B9="","",ROUND(AVERAGE(B6:B9),2))</f>
        <v/>
      </c>
      <c r="D9" s="4" t="str">
        <f t="shared" si="5"/>
        <v/>
      </c>
      <c r="E9" s="4">
        <f t="shared" si="15"/>
        <v>80</v>
      </c>
      <c r="F9" s="34" t="e">
        <f t="shared" si="16"/>
        <v>#VALUE!</v>
      </c>
      <c r="G9" s="4" t="str">
        <f t="shared" si="0"/>
        <v/>
      </c>
      <c r="H9" s="5" t="str">
        <f t="shared" ref="H9:H72" si="18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x14ac:dyDescent="0.25">
      <c r="A10" s="34">
        <v>43749</v>
      </c>
      <c r="B10" s="4"/>
      <c r="C10" s="5" t="str">
        <f t="shared" si="17"/>
        <v/>
      </c>
      <c r="D10" s="4" t="str">
        <f t="shared" si="5"/>
        <v/>
      </c>
      <c r="E10" s="4">
        <f t="shared" si="15"/>
        <v>80</v>
      </c>
      <c r="F10" s="34" t="e">
        <f t="shared" si="16"/>
        <v>#VALUE!</v>
      </c>
      <c r="G10" s="4" t="str">
        <f t="shared" si="0"/>
        <v/>
      </c>
      <c r="H10" s="5" t="str">
        <f t="shared" si="18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x14ac:dyDescent="0.25">
      <c r="A11" s="34">
        <v>43756</v>
      </c>
      <c r="B11" s="4"/>
      <c r="C11" s="5" t="str">
        <f t="shared" si="17"/>
        <v/>
      </c>
      <c r="D11" s="4" t="str">
        <f t="shared" si="5"/>
        <v/>
      </c>
      <c r="E11" s="4">
        <f t="shared" si="15"/>
        <v>80</v>
      </c>
      <c r="F11" s="34" t="e">
        <f t="shared" si="16"/>
        <v>#VALUE!</v>
      </c>
      <c r="G11" s="4" t="str">
        <f t="shared" si="0"/>
        <v/>
      </c>
      <c r="H11" s="5" t="str">
        <f t="shared" si="18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x14ac:dyDescent="0.25">
      <c r="A12" s="34">
        <v>43763</v>
      </c>
      <c r="B12" s="4"/>
      <c r="C12" s="5" t="str">
        <f t="shared" si="17"/>
        <v/>
      </c>
      <c r="D12" s="4" t="str">
        <f t="shared" si="5"/>
        <v/>
      </c>
      <c r="E12" s="4">
        <f t="shared" si="15"/>
        <v>80</v>
      </c>
      <c r="F12" s="34" t="e">
        <f t="shared" si="16"/>
        <v>#VALUE!</v>
      </c>
      <c r="G12" s="4" t="str">
        <f t="shared" si="0"/>
        <v/>
      </c>
      <c r="H12" s="5" t="str">
        <f t="shared" si="18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x14ac:dyDescent="0.25">
      <c r="A13" s="34">
        <v>43770</v>
      </c>
      <c r="B13" s="4"/>
      <c r="C13" s="5" t="str">
        <f t="shared" si="17"/>
        <v/>
      </c>
      <c r="D13" s="4" t="str">
        <f t="shared" si="5"/>
        <v/>
      </c>
      <c r="E13" s="4">
        <f t="shared" si="15"/>
        <v>80</v>
      </c>
      <c r="F13" s="34" t="e">
        <f t="shared" si="16"/>
        <v>#VALUE!</v>
      </c>
      <c r="G13" s="4" t="str">
        <f t="shared" si="0"/>
        <v/>
      </c>
      <c r="H13" s="5" t="str">
        <f t="shared" si="18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x14ac:dyDescent="0.25">
      <c r="A14" s="34">
        <v>43777</v>
      </c>
      <c r="B14" s="4"/>
      <c r="C14" s="5" t="str">
        <f t="shared" si="17"/>
        <v/>
      </c>
      <c r="D14" s="4" t="str">
        <f t="shared" si="5"/>
        <v/>
      </c>
      <c r="E14" s="4">
        <f t="shared" si="15"/>
        <v>80</v>
      </c>
      <c r="F14" s="34" t="e">
        <f t="shared" si="16"/>
        <v>#VALUE!</v>
      </c>
      <c r="G14" s="4" t="str">
        <f t="shared" si="0"/>
        <v/>
      </c>
      <c r="H14" s="5" t="str">
        <f t="shared" si="18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x14ac:dyDescent="0.25">
      <c r="A15" s="34">
        <v>43784</v>
      </c>
      <c r="B15" s="4"/>
      <c r="C15" s="5" t="str">
        <f t="shared" si="17"/>
        <v/>
      </c>
      <c r="D15" s="4" t="str">
        <f t="shared" si="5"/>
        <v/>
      </c>
      <c r="E15" s="4">
        <f t="shared" si="15"/>
        <v>80</v>
      </c>
      <c r="F15" s="34" t="e">
        <f t="shared" si="16"/>
        <v>#VALUE!</v>
      </c>
      <c r="G15" s="4" t="str">
        <f t="shared" si="0"/>
        <v/>
      </c>
      <c r="H15" s="5" t="str">
        <f t="shared" si="18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x14ac:dyDescent="0.25">
      <c r="A16" s="34">
        <v>43791</v>
      </c>
      <c r="B16" s="4"/>
      <c r="C16" s="5" t="str">
        <f t="shared" si="17"/>
        <v/>
      </c>
      <c r="D16" s="4" t="str">
        <f t="shared" si="5"/>
        <v/>
      </c>
      <c r="E16" s="4">
        <f t="shared" si="15"/>
        <v>80</v>
      </c>
      <c r="F16" s="34" t="e">
        <f t="shared" si="16"/>
        <v>#VALUE!</v>
      </c>
      <c r="G16" s="4" t="str">
        <f t="shared" si="0"/>
        <v/>
      </c>
      <c r="H16" s="5" t="str">
        <f t="shared" si="18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2" x14ac:dyDescent="0.25">
      <c r="A17" s="34">
        <v>43798</v>
      </c>
      <c r="B17" s="4"/>
      <c r="C17" s="5" t="str">
        <f t="shared" si="17"/>
        <v/>
      </c>
      <c r="D17" s="4" t="str">
        <f t="shared" si="5"/>
        <v/>
      </c>
      <c r="E17" s="4">
        <f t="shared" si="15"/>
        <v>80</v>
      </c>
      <c r="F17" s="34" t="e">
        <f t="shared" si="16"/>
        <v>#VALUE!</v>
      </c>
      <c r="G17" s="4" t="str">
        <f t="shared" si="0"/>
        <v/>
      </c>
      <c r="H17" s="5" t="str">
        <f t="shared" si="18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2" x14ac:dyDescent="0.25">
      <c r="A18" s="34">
        <v>43805</v>
      </c>
      <c r="B18" s="4"/>
      <c r="C18" s="5" t="str">
        <f t="shared" si="17"/>
        <v/>
      </c>
      <c r="D18" s="4" t="str">
        <f t="shared" si="5"/>
        <v/>
      </c>
      <c r="E18" s="4">
        <f t="shared" si="15"/>
        <v>80</v>
      </c>
      <c r="F18" s="34" t="e">
        <f t="shared" si="16"/>
        <v>#VALUE!</v>
      </c>
      <c r="G18" s="4" t="str">
        <f t="shared" si="0"/>
        <v/>
      </c>
      <c r="H18" s="5" t="str">
        <f t="shared" si="18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</row>
    <row r="19" spans="1:22" x14ac:dyDescent="0.25">
      <c r="A19" s="34">
        <v>43812</v>
      </c>
      <c r="B19" s="4"/>
      <c r="C19" s="5" t="str">
        <f t="shared" si="17"/>
        <v/>
      </c>
      <c r="D19" s="4" t="str">
        <f t="shared" si="5"/>
        <v/>
      </c>
      <c r="E19" s="4">
        <f t="shared" si="15"/>
        <v>80</v>
      </c>
      <c r="F19" s="34" t="e">
        <f t="shared" si="16"/>
        <v>#VALUE!</v>
      </c>
      <c r="G19" s="4" t="str">
        <f t="shared" si="0"/>
        <v/>
      </c>
      <c r="H19" s="5" t="str">
        <f t="shared" si="18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</row>
    <row r="20" spans="1:22" x14ac:dyDescent="0.25">
      <c r="A20" s="34">
        <v>43819</v>
      </c>
      <c r="B20" s="4"/>
      <c r="C20" s="5" t="str">
        <f t="shared" si="17"/>
        <v/>
      </c>
      <c r="D20" s="4" t="str">
        <f t="shared" si="5"/>
        <v/>
      </c>
      <c r="E20" s="4">
        <f t="shared" si="15"/>
        <v>80</v>
      </c>
      <c r="F20" s="34" t="e">
        <f t="shared" si="16"/>
        <v>#VALUE!</v>
      </c>
      <c r="G20" s="4" t="str">
        <f t="shared" si="0"/>
        <v/>
      </c>
      <c r="H20" s="5" t="str">
        <f t="shared" si="18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22" x14ac:dyDescent="0.25">
      <c r="A21" s="34">
        <v>43826</v>
      </c>
      <c r="B21" s="4"/>
      <c r="C21" s="5" t="str">
        <f t="shared" si="17"/>
        <v/>
      </c>
      <c r="D21" s="4" t="str">
        <f t="shared" si="5"/>
        <v/>
      </c>
      <c r="E21" s="4">
        <f t="shared" si="15"/>
        <v>80</v>
      </c>
      <c r="F21" s="34" t="e">
        <f t="shared" si="16"/>
        <v>#VALUE!</v>
      </c>
      <c r="G21" s="4" t="str">
        <f t="shared" si="0"/>
        <v/>
      </c>
      <c r="H21" s="5" t="str">
        <f t="shared" si="18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22" x14ac:dyDescent="0.25">
      <c r="A22" s="34">
        <v>43833</v>
      </c>
      <c r="B22" s="4"/>
      <c r="C22" s="5" t="str">
        <f t="shared" si="17"/>
        <v/>
      </c>
      <c r="D22" s="4" t="str">
        <f t="shared" si="5"/>
        <v/>
      </c>
      <c r="E22" s="4">
        <f t="shared" si="15"/>
        <v>80</v>
      </c>
      <c r="F22" s="34" t="e">
        <f t="shared" si="16"/>
        <v>#VALUE!</v>
      </c>
      <c r="G22" s="4" t="str">
        <f t="shared" si="0"/>
        <v/>
      </c>
      <c r="H22" s="5" t="str">
        <f t="shared" si="18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22" x14ac:dyDescent="0.25">
      <c r="A23" s="34">
        <v>43840</v>
      </c>
      <c r="B23" s="4"/>
      <c r="C23" s="5" t="str">
        <f t="shared" si="17"/>
        <v/>
      </c>
      <c r="D23" s="4" t="str">
        <f t="shared" si="5"/>
        <v/>
      </c>
      <c r="E23" s="4">
        <f t="shared" si="15"/>
        <v>80</v>
      </c>
      <c r="F23" s="34" t="e">
        <f t="shared" si="16"/>
        <v>#VALUE!</v>
      </c>
      <c r="G23" s="4" t="str">
        <f t="shared" si="0"/>
        <v/>
      </c>
      <c r="H23" s="5" t="str">
        <f t="shared" si="18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22" ht="15.75" customHeight="1" x14ac:dyDescent="0.25">
      <c r="A24" s="34">
        <v>43847</v>
      </c>
      <c r="B24" s="4"/>
      <c r="C24" s="5" t="str">
        <f t="shared" si="17"/>
        <v/>
      </c>
      <c r="D24" s="4" t="str">
        <f t="shared" si="5"/>
        <v/>
      </c>
      <c r="E24" s="4">
        <f t="shared" si="15"/>
        <v>80</v>
      </c>
      <c r="F24" s="34" t="e">
        <f t="shared" si="16"/>
        <v>#VALUE!</v>
      </c>
      <c r="G24" s="39" t="str">
        <f t="shared" si="0"/>
        <v/>
      </c>
      <c r="H24" s="40" t="str">
        <f t="shared" si="18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22" x14ac:dyDescent="0.25">
      <c r="A25" s="34">
        <v>43854</v>
      </c>
      <c r="B25" s="4"/>
      <c r="C25" s="5" t="str">
        <f t="shared" si="17"/>
        <v/>
      </c>
      <c r="D25" s="4" t="str">
        <f t="shared" si="5"/>
        <v/>
      </c>
      <c r="E25" s="4">
        <f t="shared" si="15"/>
        <v>80</v>
      </c>
      <c r="F25" s="34" t="e">
        <f t="shared" si="16"/>
        <v>#VALUE!</v>
      </c>
      <c r="G25" s="4" t="str">
        <f t="shared" si="0"/>
        <v/>
      </c>
      <c r="H25" s="5" t="str">
        <f t="shared" si="18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19">ISNUMBER(O25)</f>
        <v>0</v>
      </c>
    </row>
    <row r="26" spans="1:22" x14ac:dyDescent="0.25">
      <c r="A26" s="34">
        <v>43861</v>
      </c>
      <c r="B26" s="4"/>
      <c r="C26" s="5" t="str">
        <f t="shared" si="17"/>
        <v/>
      </c>
      <c r="D26" s="4" t="str">
        <f t="shared" si="5"/>
        <v/>
      </c>
      <c r="E26" s="4">
        <f t="shared" si="15"/>
        <v>80</v>
      </c>
      <c r="F26" s="34" t="e">
        <f t="shared" si="16"/>
        <v>#VALUE!</v>
      </c>
      <c r="G26" s="39" t="str">
        <f t="shared" si="0"/>
        <v/>
      </c>
      <c r="H26" s="40" t="str">
        <f t="shared" si="18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19"/>
        <v>0</v>
      </c>
    </row>
    <row r="27" spans="1:22" ht="14.25" customHeight="1" x14ac:dyDescent="0.25">
      <c r="A27" s="34">
        <v>43868</v>
      </c>
      <c r="B27" s="4"/>
      <c r="C27" s="5" t="str">
        <f t="shared" si="17"/>
        <v/>
      </c>
      <c r="D27" s="4" t="str">
        <f t="shared" si="5"/>
        <v/>
      </c>
      <c r="E27" s="4">
        <f t="shared" si="15"/>
        <v>80</v>
      </c>
      <c r="F27" s="34" t="e">
        <f t="shared" si="16"/>
        <v>#VALUE!</v>
      </c>
      <c r="G27" s="4" t="str">
        <f t="shared" si="0"/>
        <v/>
      </c>
      <c r="H27" s="5" t="str">
        <f t="shared" si="18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19"/>
        <v>0</v>
      </c>
    </row>
    <row r="28" spans="1:22" x14ac:dyDescent="0.25">
      <c r="A28" s="34">
        <v>43875</v>
      </c>
      <c r="B28" s="4"/>
      <c r="C28" s="5" t="str">
        <f t="shared" si="17"/>
        <v/>
      </c>
      <c r="D28" s="4" t="str">
        <f t="shared" si="5"/>
        <v/>
      </c>
      <c r="E28" s="4">
        <f t="shared" si="15"/>
        <v>80</v>
      </c>
      <c r="F28" s="34" t="e">
        <f t="shared" si="16"/>
        <v>#VALUE!</v>
      </c>
      <c r="G28" s="4" t="str">
        <f t="shared" si="0"/>
        <v/>
      </c>
      <c r="H28" s="5" t="str">
        <f t="shared" si="18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19"/>
        <v>0</v>
      </c>
    </row>
    <row r="29" spans="1:22" x14ac:dyDescent="0.25">
      <c r="A29" s="34">
        <v>43882</v>
      </c>
      <c r="B29" s="4"/>
      <c r="C29" s="5" t="str">
        <f t="shared" si="17"/>
        <v/>
      </c>
      <c r="D29" s="4" t="str">
        <f t="shared" si="5"/>
        <v/>
      </c>
      <c r="E29" s="4">
        <f t="shared" si="15"/>
        <v>80</v>
      </c>
      <c r="F29" s="34" t="e">
        <f t="shared" si="16"/>
        <v>#VALUE!</v>
      </c>
      <c r="G29" s="4" t="str">
        <f t="shared" si="0"/>
        <v/>
      </c>
      <c r="H29" s="5" t="str">
        <f t="shared" si="18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19"/>
        <v>0</v>
      </c>
    </row>
    <row r="30" spans="1:22" x14ac:dyDescent="0.25">
      <c r="A30" s="34">
        <v>43889</v>
      </c>
      <c r="B30" s="4"/>
      <c r="C30" s="5" t="str">
        <f t="shared" si="17"/>
        <v/>
      </c>
      <c r="D30" s="4" t="str">
        <f t="shared" si="5"/>
        <v/>
      </c>
      <c r="E30" s="4">
        <f t="shared" si="15"/>
        <v>80</v>
      </c>
      <c r="F30" s="34" t="e">
        <f t="shared" si="16"/>
        <v>#VALUE!</v>
      </c>
      <c r="G30" s="4" t="str">
        <f t="shared" si="0"/>
        <v/>
      </c>
      <c r="H30" s="5" t="str">
        <f t="shared" si="18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0">ISBLANK(O30)</f>
        <v>0</v>
      </c>
      <c r="U30" s="2" t="b">
        <f t="shared" si="13"/>
        <v>0</v>
      </c>
      <c r="V30" s="2" t="b">
        <f t="shared" si="19"/>
        <v>0</v>
      </c>
    </row>
    <row r="31" spans="1:22" x14ac:dyDescent="0.25">
      <c r="A31" s="34">
        <v>43896</v>
      </c>
      <c r="B31" s="4"/>
      <c r="C31" s="5" t="str">
        <f t="shared" si="17"/>
        <v/>
      </c>
      <c r="D31" s="4" t="str">
        <f t="shared" si="5"/>
        <v/>
      </c>
      <c r="E31" s="4">
        <f t="shared" si="15"/>
        <v>80</v>
      </c>
      <c r="F31" s="34" t="e">
        <f t="shared" si="16"/>
        <v>#VALUE!</v>
      </c>
      <c r="G31" s="39" t="str">
        <f t="shared" si="0"/>
        <v/>
      </c>
      <c r="H31" s="40" t="str">
        <f t="shared" si="18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0"/>
        <v>0</v>
      </c>
      <c r="U31" s="2" t="b">
        <f t="shared" si="13"/>
        <v>0</v>
      </c>
      <c r="V31" s="2" t="b">
        <f>ISNUMBER(O31)</f>
        <v>0</v>
      </c>
    </row>
    <row r="32" spans="1:22" x14ac:dyDescent="0.25">
      <c r="A32" s="34">
        <v>43903</v>
      </c>
      <c r="B32" s="4"/>
      <c r="C32" s="5" t="str">
        <f t="shared" si="17"/>
        <v/>
      </c>
      <c r="D32" s="4" t="str">
        <f t="shared" si="5"/>
        <v/>
      </c>
      <c r="E32" s="4">
        <f t="shared" si="15"/>
        <v>80</v>
      </c>
      <c r="F32" s="34" t="e">
        <f t="shared" si="16"/>
        <v>#VALUE!</v>
      </c>
      <c r="G32" s="4" t="str">
        <f t="shared" si="0"/>
        <v/>
      </c>
      <c r="H32" s="5" t="str">
        <f t="shared" si="18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0"/>
        <v>0</v>
      </c>
      <c r="U32" s="2" t="b">
        <f t="shared" si="13"/>
        <v>0</v>
      </c>
      <c r="V32" s="2" t="b">
        <f t="shared" ref="V32:V95" si="21">ISNUMBER(O32)</f>
        <v>0</v>
      </c>
    </row>
    <row r="33" spans="1:23" x14ac:dyDescent="0.25">
      <c r="A33" s="34">
        <v>43910</v>
      </c>
      <c r="B33" s="4"/>
      <c r="C33" s="5" t="str">
        <f t="shared" si="17"/>
        <v/>
      </c>
      <c r="D33" s="4" t="str">
        <f t="shared" si="5"/>
        <v/>
      </c>
      <c r="E33" s="4">
        <f t="shared" si="15"/>
        <v>80</v>
      </c>
      <c r="F33" s="34" t="e">
        <f t="shared" si="16"/>
        <v>#VALUE!</v>
      </c>
      <c r="G33" s="4" t="str">
        <f t="shared" si="0"/>
        <v/>
      </c>
      <c r="H33" s="5" t="str">
        <f t="shared" si="18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0"/>
        <v>0</v>
      </c>
      <c r="U33" s="2" t="b">
        <f t="shared" si="13"/>
        <v>0</v>
      </c>
      <c r="V33" s="2" t="b">
        <f t="shared" si="21"/>
        <v>0</v>
      </c>
    </row>
    <row r="34" spans="1:23" x14ac:dyDescent="0.25">
      <c r="A34" s="34">
        <v>43917</v>
      </c>
      <c r="B34" s="4"/>
      <c r="C34" s="5" t="str">
        <f t="shared" si="17"/>
        <v/>
      </c>
      <c r="D34" s="4" t="str">
        <f t="shared" si="5"/>
        <v/>
      </c>
      <c r="E34" s="4">
        <f t="shared" si="15"/>
        <v>80</v>
      </c>
      <c r="F34" s="34" t="e">
        <f t="shared" si="16"/>
        <v>#VALUE!</v>
      </c>
      <c r="G34" s="4" t="str">
        <f t="shared" si="0"/>
        <v/>
      </c>
      <c r="H34" s="5" t="str">
        <f t="shared" si="18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0"/>
        <v>0</v>
      </c>
      <c r="U34" s="2" t="b">
        <f t="shared" si="13"/>
        <v>0</v>
      </c>
      <c r="V34" s="2" t="b">
        <f t="shared" si="21"/>
        <v>0</v>
      </c>
    </row>
    <row r="35" spans="1:23" x14ac:dyDescent="0.25">
      <c r="A35" s="34">
        <v>43924</v>
      </c>
      <c r="B35" s="4"/>
      <c r="C35" s="5" t="str">
        <f t="shared" si="17"/>
        <v/>
      </c>
      <c r="D35" s="4" t="str">
        <f t="shared" si="5"/>
        <v/>
      </c>
      <c r="E35" s="4">
        <f t="shared" si="15"/>
        <v>80</v>
      </c>
      <c r="F35" s="34" t="e">
        <f t="shared" si="16"/>
        <v>#VALUE!</v>
      </c>
      <c r="G35" s="4" t="str">
        <f t="shared" si="0"/>
        <v/>
      </c>
      <c r="H35" s="5" t="str">
        <f t="shared" si="18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0"/>
        <v>0</v>
      </c>
      <c r="U35" s="2" t="b">
        <f t="shared" si="13"/>
        <v>0</v>
      </c>
      <c r="V35" s="2" t="b">
        <f t="shared" si="21"/>
        <v>0</v>
      </c>
      <c r="W35" s="1"/>
    </row>
    <row r="36" spans="1:23" x14ac:dyDescent="0.25">
      <c r="A36" s="34">
        <v>43931</v>
      </c>
      <c r="B36" s="4"/>
      <c r="C36" s="5" t="str">
        <f t="shared" si="17"/>
        <v/>
      </c>
      <c r="D36" s="4" t="str">
        <f t="shared" si="5"/>
        <v/>
      </c>
      <c r="E36" s="4">
        <f t="shared" si="15"/>
        <v>80</v>
      </c>
      <c r="F36" s="34" t="e">
        <f t="shared" si="16"/>
        <v>#VALUE!</v>
      </c>
      <c r="G36" s="4" t="str">
        <f t="shared" si="0"/>
        <v/>
      </c>
      <c r="H36" s="5" t="str">
        <f t="shared" si="18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0"/>
        <v>0</v>
      </c>
      <c r="U36" s="2" t="b">
        <f t="shared" si="13"/>
        <v>0</v>
      </c>
      <c r="V36" s="2" t="b">
        <f t="shared" si="21"/>
        <v>0</v>
      </c>
    </row>
    <row r="37" spans="1:23" x14ac:dyDescent="0.25">
      <c r="A37" s="34">
        <v>43938</v>
      </c>
      <c r="B37" s="4"/>
      <c r="C37" s="5" t="str">
        <f t="shared" si="17"/>
        <v/>
      </c>
      <c r="D37" s="4" t="str">
        <f t="shared" si="5"/>
        <v/>
      </c>
      <c r="E37" s="4">
        <f t="shared" si="15"/>
        <v>80</v>
      </c>
      <c r="F37" s="34" t="e">
        <f t="shared" si="16"/>
        <v>#VALUE!</v>
      </c>
      <c r="G37" s="4" t="str">
        <f t="shared" si="0"/>
        <v/>
      </c>
      <c r="H37" s="5" t="str">
        <f t="shared" si="18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0"/>
        <v>0</v>
      </c>
      <c r="U37" s="2" t="b">
        <f t="shared" si="13"/>
        <v>0</v>
      </c>
      <c r="V37" s="2" t="b">
        <f t="shared" si="21"/>
        <v>0</v>
      </c>
    </row>
    <row r="38" spans="1:23" x14ac:dyDescent="0.25">
      <c r="A38" s="34">
        <v>43945</v>
      </c>
      <c r="B38" s="4"/>
      <c r="C38" s="5" t="str">
        <f t="shared" si="17"/>
        <v/>
      </c>
      <c r="D38" s="4" t="str">
        <f t="shared" si="5"/>
        <v/>
      </c>
      <c r="E38" s="4">
        <f t="shared" si="15"/>
        <v>80</v>
      </c>
      <c r="F38" s="34" t="e">
        <f t="shared" si="16"/>
        <v>#VALUE!</v>
      </c>
      <c r="G38" s="4" t="str">
        <f t="shared" si="0"/>
        <v/>
      </c>
      <c r="H38" s="5" t="str">
        <f t="shared" si="18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0"/>
        <v>0</v>
      </c>
      <c r="U38" s="2" t="b">
        <f t="shared" si="13"/>
        <v>0</v>
      </c>
      <c r="V38" s="2" t="b">
        <f t="shared" si="21"/>
        <v>0</v>
      </c>
    </row>
    <row r="39" spans="1:23" x14ac:dyDescent="0.25">
      <c r="A39" s="34">
        <v>43952</v>
      </c>
      <c r="B39" s="4"/>
      <c r="C39" s="5" t="str">
        <f t="shared" si="17"/>
        <v/>
      </c>
      <c r="D39" s="4" t="str">
        <f t="shared" si="5"/>
        <v/>
      </c>
      <c r="E39" s="4">
        <f t="shared" si="15"/>
        <v>80</v>
      </c>
      <c r="F39" s="34" t="e">
        <f t="shared" si="16"/>
        <v>#VALUE!</v>
      </c>
      <c r="G39" s="4" t="str">
        <f t="shared" si="0"/>
        <v/>
      </c>
      <c r="H39" s="5" t="str">
        <f t="shared" si="18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0"/>
        <v>0</v>
      </c>
      <c r="U39" s="2" t="b">
        <f t="shared" si="13"/>
        <v>0</v>
      </c>
      <c r="V39" s="2" t="b">
        <f t="shared" si="21"/>
        <v>0</v>
      </c>
    </row>
    <row r="40" spans="1:23" x14ac:dyDescent="0.25">
      <c r="A40" s="34">
        <v>43959</v>
      </c>
      <c r="B40" s="4"/>
      <c r="C40" s="5" t="str">
        <f t="shared" si="17"/>
        <v/>
      </c>
      <c r="D40" s="4" t="str">
        <f t="shared" si="5"/>
        <v/>
      </c>
      <c r="E40" s="4">
        <f t="shared" si="15"/>
        <v>80</v>
      </c>
      <c r="F40" s="34" t="e">
        <f t="shared" si="16"/>
        <v>#VALUE!</v>
      </c>
      <c r="G40" s="4" t="str">
        <f t="shared" si="0"/>
        <v/>
      </c>
      <c r="H40" s="5" t="str">
        <f t="shared" si="18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0"/>
        <v>0</v>
      </c>
      <c r="U40" s="2" t="b">
        <f t="shared" si="13"/>
        <v>0</v>
      </c>
      <c r="V40" s="2" t="b">
        <f t="shared" si="21"/>
        <v>0</v>
      </c>
    </row>
    <row r="41" spans="1:23" x14ac:dyDescent="0.25">
      <c r="A41" s="34">
        <v>43966</v>
      </c>
      <c r="B41" s="4"/>
      <c r="C41" s="5" t="str">
        <f t="shared" si="17"/>
        <v/>
      </c>
      <c r="D41" s="4" t="str">
        <f t="shared" si="5"/>
        <v/>
      </c>
      <c r="E41" s="4">
        <f t="shared" si="15"/>
        <v>80</v>
      </c>
      <c r="F41" s="34" t="e">
        <f t="shared" si="16"/>
        <v>#VALUE!</v>
      </c>
      <c r="G41" s="4" t="str">
        <f t="shared" si="0"/>
        <v/>
      </c>
      <c r="H41" s="5" t="str">
        <f t="shared" si="18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0"/>
        <v>0</v>
      </c>
      <c r="U41" s="2" t="b">
        <f t="shared" si="13"/>
        <v>0</v>
      </c>
      <c r="V41" s="2" t="b">
        <f t="shared" si="21"/>
        <v>0</v>
      </c>
    </row>
    <row r="42" spans="1:23" x14ac:dyDescent="0.25">
      <c r="A42" s="34">
        <v>43973</v>
      </c>
      <c r="B42" s="4"/>
      <c r="C42" s="5" t="str">
        <f t="shared" si="17"/>
        <v/>
      </c>
      <c r="D42" s="4" t="str">
        <f t="shared" si="5"/>
        <v/>
      </c>
      <c r="E42" s="4">
        <f t="shared" si="15"/>
        <v>80</v>
      </c>
      <c r="F42" s="34" t="e">
        <f t="shared" si="16"/>
        <v>#VALUE!</v>
      </c>
      <c r="G42" s="4" t="str">
        <f t="shared" si="0"/>
        <v/>
      </c>
      <c r="H42" s="5" t="str">
        <f t="shared" si="18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0"/>
        <v>0</v>
      </c>
      <c r="U42" s="2" t="b">
        <f t="shared" si="13"/>
        <v>0</v>
      </c>
      <c r="V42" s="2" t="b">
        <f t="shared" si="21"/>
        <v>0</v>
      </c>
    </row>
    <row r="43" spans="1:23" x14ac:dyDescent="0.25">
      <c r="A43" s="34">
        <v>43980</v>
      </c>
      <c r="B43" s="4"/>
      <c r="C43" s="5" t="str">
        <f t="shared" si="17"/>
        <v/>
      </c>
      <c r="D43" s="4" t="str">
        <f t="shared" si="5"/>
        <v/>
      </c>
      <c r="E43" s="4">
        <f t="shared" si="15"/>
        <v>80</v>
      </c>
      <c r="F43" s="34" t="e">
        <f t="shared" si="16"/>
        <v>#VALUE!</v>
      </c>
      <c r="G43" s="4" t="str">
        <f t="shared" si="0"/>
        <v/>
      </c>
      <c r="H43" s="5" t="str">
        <f t="shared" si="18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0"/>
        <v>0</v>
      </c>
      <c r="U43" s="2" t="b">
        <f t="shared" si="13"/>
        <v>0</v>
      </c>
      <c r="V43" s="2" t="b">
        <f t="shared" si="21"/>
        <v>0</v>
      </c>
    </row>
    <row r="44" spans="1:23" x14ac:dyDescent="0.25">
      <c r="A44" s="34">
        <v>43987</v>
      </c>
      <c r="B44" s="4"/>
      <c r="C44" s="5" t="str">
        <f t="shared" si="17"/>
        <v/>
      </c>
      <c r="D44" s="4" t="str">
        <f t="shared" si="5"/>
        <v/>
      </c>
      <c r="E44" s="4">
        <f t="shared" si="15"/>
        <v>80</v>
      </c>
      <c r="F44" s="34" t="e">
        <f t="shared" si="16"/>
        <v>#VALUE!</v>
      </c>
      <c r="G44" s="4" t="str">
        <f t="shared" si="0"/>
        <v/>
      </c>
      <c r="H44" s="5" t="str">
        <f t="shared" si="18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0"/>
        <v>0</v>
      </c>
      <c r="U44" s="2" t="b">
        <f t="shared" si="13"/>
        <v>0</v>
      </c>
      <c r="V44" s="2" t="b">
        <f t="shared" si="21"/>
        <v>0</v>
      </c>
    </row>
    <row r="45" spans="1:23" x14ac:dyDescent="0.25">
      <c r="A45" s="34">
        <v>43994</v>
      </c>
      <c r="B45" s="4"/>
      <c r="C45" s="5" t="str">
        <f t="shared" si="17"/>
        <v/>
      </c>
      <c r="D45" s="4" t="str">
        <f t="shared" si="5"/>
        <v/>
      </c>
      <c r="E45" s="4">
        <f t="shared" si="15"/>
        <v>80</v>
      </c>
      <c r="F45" s="34" t="e">
        <f t="shared" si="16"/>
        <v>#VALUE!</v>
      </c>
      <c r="G45" s="4" t="str">
        <f t="shared" si="0"/>
        <v/>
      </c>
      <c r="H45" s="5" t="str">
        <f t="shared" si="18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0"/>
        <v>0</v>
      </c>
      <c r="U45" s="2" t="b">
        <f t="shared" si="13"/>
        <v>0</v>
      </c>
      <c r="V45" s="2" t="b">
        <f t="shared" si="21"/>
        <v>0</v>
      </c>
    </row>
    <row r="46" spans="1:23" x14ac:dyDescent="0.25">
      <c r="A46" s="34">
        <v>44001</v>
      </c>
      <c r="B46" s="4"/>
      <c r="C46" s="5" t="str">
        <f t="shared" si="17"/>
        <v/>
      </c>
      <c r="D46" s="4" t="str">
        <f t="shared" si="5"/>
        <v/>
      </c>
      <c r="E46" s="4">
        <f t="shared" si="15"/>
        <v>80</v>
      </c>
      <c r="F46" s="34" t="e">
        <f t="shared" si="16"/>
        <v>#VALUE!</v>
      </c>
      <c r="G46" s="4" t="str">
        <f t="shared" si="0"/>
        <v/>
      </c>
      <c r="H46" s="5" t="str">
        <f t="shared" si="18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0"/>
        <v>0</v>
      </c>
      <c r="U46" s="2" t="b">
        <f t="shared" si="13"/>
        <v>0</v>
      </c>
      <c r="V46" s="2" t="b">
        <f t="shared" si="21"/>
        <v>0</v>
      </c>
    </row>
    <row r="47" spans="1:23" x14ac:dyDescent="0.25">
      <c r="A47" s="34">
        <v>44008</v>
      </c>
      <c r="B47" s="4"/>
      <c r="C47" s="5" t="str">
        <f t="shared" si="17"/>
        <v/>
      </c>
      <c r="D47" s="4" t="str">
        <f t="shared" si="5"/>
        <v/>
      </c>
      <c r="E47" s="4">
        <f t="shared" si="15"/>
        <v>80</v>
      </c>
      <c r="F47" s="34" t="e">
        <f t="shared" si="16"/>
        <v>#VALUE!</v>
      </c>
      <c r="G47" s="4" t="str">
        <f t="shared" si="0"/>
        <v/>
      </c>
      <c r="H47" s="5" t="str">
        <f t="shared" si="18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0"/>
        <v>0</v>
      </c>
      <c r="U47" s="2" t="b">
        <f t="shared" si="13"/>
        <v>0</v>
      </c>
      <c r="V47" s="2" t="b">
        <f t="shared" si="21"/>
        <v>0</v>
      </c>
    </row>
    <row r="48" spans="1:23" x14ac:dyDescent="0.25">
      <c r="A48" s="34">
        <v>44015</v>
      </c>
      <c r="B48" s="4"/>
      <c r="C48" s="5" t="str">
        <f t="shared" si="17"/>
        <v/>
      </c>
      <c r="D48" s="4" t="str">
        <f t="shared" si="5"/>
        <v/>
      </c>
      <c r="E48" s="4">
        <f t="shared" si="15"/>
        <v>80</v>
      </c>
      <c r="F48" s="34" t="e">
        <f t="shared" si="16"/>
        <v>#VALUE!</v>
      </c>
      <c r="G48" s="4" t="str">
        <f t="shared" si="0"/>
        <v/>
      </c>
      <c r="H48" s="5" t="str">
        <f t="shared" si="18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0"/>
        <v>0</v>
      </c>
      <c r="U48" s="2" t="b">
        <f t="shared" si="13"/>
        <v>0</v>
      </c>
      <c r="V48" s="2" t="b">
        <f t="shared" si="21"/>
        <v>0</v>
      </c>
    </row>
    <row r="49" spans="1:22" x14ac:dyDescent="0.25">
      <c r="A49" s="34">
        <v>44022</v>
      </c>
      <c r="B49" s="4"/>
      <c r="C49" s="5" t="str">
        <f t="shared" si="17"/>
        <v/>
      </c>
      <c r="D49" s="4" t="str">
        <f t="shared" si="5"/>
        <v/>
      </c>
      <c r="E49" s="4">
        <f t="shared" si="15"/>
        <v>80</v>
      </c>
      <c r="F49" s="34" t="e">
        <f t="shared" si="16"/>
        <v>#VALUE!</v>
      </c>
      <c r="G49" s="4" t="str">
        <f t="shared" si="0"/>
        <v/>
      </c>
      <c r="H49" s="5" t="str">
        <f t="shared" si="18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0"/>
        <v>0</v>
      </c>
      <c r="U49" s="2" t="b">
        <f t="shared" si="13"/>
        <v>0</v>
      </c>
      <c r="V49" s="2" t="b">
        <f t="shared" si="21"/>
        <v>0</v>
      </c>
    </row>
    <row r="50" spans="1:22" x14ac:dyDescent="0.25">
      <c r="A50" s="34">
        <v>44029</v>
      </c>
      <c r="B50" s="4"/>
      <c r="C50" s="5" t="str">
        <f t="shared" si="17"/>
        <v/>
      </c>
      <c r="D50" s="4" t="str">
        <f t="shared" si="5"/>
        <v/>
      </c>
      <c r="E50" s="4">
        <f t="shared" si="15"/>
        <v>80</v>
      </c>
      <c r="F50" s="34" t="e">
        <f t="shared" si="16"/>
        <v>#VALUE!</v>
      </c>
      <c r="G50" s="4" t="str">
        <f t="shared" si="0"/>
        <v/>
      </c>
      <c r="H50" s="5" t="str">
        <f t="shared" si="18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0"/>
        <v>0</v>
      </c>
      <c r="U50" s="2" t="b">
        <f t="shared" si="13"/>
        <v>0</v>
      </c>
      <c r="V50" s="2" t="b">
        <f t="shared" si="21"/>
        <v>0</v>
      </c>
    </row>
    <row r="51" spans="1:22" x14ac:dyDescent="0.25">
      <c r="A51" s="34">
        <v>44036</v>
      </c>
      <c r="B51" s="4"/>
      <c r="C51" s="5" t="str">
        <f t="shared" si="17"/>
        <v/>
      </c>
      <c r="D51" s="4" t="str">
        <f t="shared" si="5"/>
        <v/>
      </c>
      <c r="E51" s="4">
        <f t="shared" si="15"/>
        <v>80</v>
      </c>
      <c r="F51" s="34" t="e">
        <f t="shared" si="16"/>
        <v>#VALUE!</v>
      </c>
      <c r="G51" s="4" t="str">
        <f t="shared" si="0"/>
        <v/>
      </c>
      <c r="H51" s="5" t="str">
        <f t="shared" si="18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0"/>
        <v>0</v>
      </c>
      <c r="U51" s="2" t="b">
        <f t="shared" si="13"/>
        <v>0</v>
      </c>
      <c r="V51" s="2" t="b">
        <f t="shared" si="21"/>
        <v>0</v>
      </c>
    </row>
    <row r="52" spans="1:22" x14ac:dyDescent="0.25">
      <c r="A52" s="34">
        <v>44043</v>
      </c>
      <c r="B52" s="4"/>
      <c r="C52" s="5" t="str">
        <f t="shared" si="17"/>
        <v/>
      </c>
      <c r="D52" s="4" t="str">
        <f t="shared" si="5"/>
        <v/>
      </c>
      <c r="E52" s="4">
        <f t="shared" si="15"/>
        <v>80</v>
      </c>
      <c r="F52" s="34" t="e">
        <f t="shared" si="16"/>
        <v>#VALUE!</v>
      </c>
      <c r="G52" s="4" t="str">
        <f t="shared" si="0"/>
        <v/>
      </c>
      <c r="H52" s="5" t="str">
        <f t="shared" si="18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0"/>
        <v>0</v>
      </c>
      <c r="U52" s="2" t="b">
        <f t="shared" si="13"/>
        <v>0</v>
      </c>
      <c r="V52" s="2" t="b">
        <f t="shared" si="21"/>
        <v>0</v>
      </c>
    </row>
    <row r="53" spans="1:22" x14ac:dyDescent="0.25">
      <c r="A53" s="34">
        <v>44050</v>
      </c>
      <c r="B53" s="4"/>
      <c r="C53" s="5" t="str">
        <f t="shared" si="17"/>
        <v/>
      </c>
      <c r="D53" s="4" t="str">
        <f t="shared" si="5"/>
        <v/>
      </c>
      <c r="E53" s="4">
        <f t="shared" si="15"/>
        <v>80</v>
      </c>
      <c r="F53" s="34" t="e">
        <f t="shared" si="16"/>
        <v>#VALUE!</v>
      </c>
      <c r="G53" s="4" t="str">
        <f t="shared" si="0"/>
        <v/>
      </c>
      <c r="H53" s="5" t="str">
        <f t="shared" si="18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0"/>
        <v>0</v>
      </c>
      <c r="U53" s="2" t="b">
        <f t="shared" si="13"/>
        <v>0</v>
      </c>
      <c r="V53" s="2" t="b">
        <f t="shared" si="21"/>
        <v>0</v>
      </c>
    </row>
    <row r="54" spans="1:22" x14ac:dyDescent="0.25">
      <c r="A54" s="34">
        <v>44057</v>
      </c>
      <c r="B54" s="4"/>
      <c r="C54" s="5" t="str">
        <f t="shared" si="17"/>
        <v/>
      </c>
      <c r="D54" s="4" t="str">
        <f t="shared" si="5"/>
        <v/>
      </c>
      <c r="E54" s="4">
        <f t="shared" si="15"/>
        <v>80</v>
      </c>
      <c r="F54" s="34" t="e">
        <f t="shared" si="16"/>
        <v>#VALUE!</v>
      </c>
      <c r="G54" s="4" t="str">
        <f t="shared" si="0"/>
        <v/>
      </c>
      <c r="H54" s="5" t="str">
        <f t="shared" si="18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0"/>
        <v>0</v>
      </c>
      <c r="U54" s="2" t="b">
        <f t="shared" si="13"/>
        <v>0</v>
      </c>
      <c r="V54" s="2" t="b">
        <f t="shared" si="21"/>
        <v>0</v>
      </c>
    </row>
    <row r="55" spans="1:22" x14ac:dyDescent="0.25">
      <c r="A55" s="34">
        <v>44064</v>
      </c>
      <c r="B55" s="4"/>
      <c r="C55" s="5" t="str">
        <f t="shared" si="17"/>
        <v/>
      </c>
      <c r="D55" s="4" t="str">
        <f t="shared" si="5"/>
        <v/>
      </c>
      <c r="E55" s="4">
        <f t="shared" si="15"/>
        <v>80</v>
      </c>
      <c r="F55" s="34" t="e">
        <f t="shared" si="16"/>
        <v>#VALUE!</v>
      </c>
      <c r="G55" s="4" t="str">
        <f t="shared" si="0"/>
        <v/>
      </c>
      <c r="H55" s="5" t="str">
        <f t="shared" si="18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0"/>
        <v>0</v>
      </c>
      <c r="U55" s="2" t="b">
        <f t="shared" si="13"/>
        <v>0</v>
      </c>
      <c r="V55" s="2" t="b">
        <f t="shared" si="21"/>
        <v>0</v>
      </c>
    </row>
    <row r="56" spans="1:22" x14ac:dyDescent="0.25">
      <c r="A56" s="34">
        <v>44071</v>
      </c>
      <c r="B56" s="4"/>
      <c r="C56" s="5" t="str">
        <f t="shared" si="17"/>
        <v/>
      </c>
      <c r="D56" s="4" t="str">
        <f t="shared" si="5"/>
        <v/>
      </c>
      <c r="E56" s="4">
        <f t="shared" si="15"/>
        <v>80</v>
      </c>
      <c r="F56" s="34" t="e">
        <f t="shared" si="16"/>
        <v>#VALUE!</v>
      </c>
      <c r="G56" s="4" t="str">
        <f t="shared" si="0"/>
        <v/>
      </c>
      <c r="H56" s="5" t="str">
        <f t="shared" si="18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0"/>
        <v>0</v>
      </c>
      <c r="U56" s="2" t="b">
        <f t="shared" si="13"/>
        <v>0</v>
      </c>
      <c r="V56" s="2" t="b">
        <f t="shared" si="21"/>
        <v>0</v>
      </c>
    </row>
    <row r="57" spans="1:22" x14ac:dyDescent="0.25">
      <c r="A57" s="34">
        <v>44078</v>
      </c>
      <c r="B57" s="4"/>
      <c r="C57" s="5" t="str">
        <f t="shared" si="17"/>
        <v/>
      </c>
      <c r="D57" s="4" t="str">
        <f t="shared" si="5"/>
        <v/>
      </c>
      <c r="E57" s="4">
        <f t="shared" si="15"/>
        <v>80</v>
      </c>
      <c r="F57" s="34" t="e">
        <f t="shared" si="16"/>
        <v>#VALUE!</v>
      </c>
      <c r="G57" s="4" t="str">
        <f t="shared" si="0"/>
        <v/>
      </c>
      <c r="H57" s="5" t="str">
        <f t="shared" si="18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0"/>
        <v>0</v>
      </c>
      <c r="U57" s="2" t="b">
        <f t="shared" si="13"/>
        <v>0</v>
      </c>
      <c r="V57" s="2" t="b">
        <f t="shared" si="21"/>
        <v>0</v>
      </c>
    </row>
    <row r="58" spans="1:22" x14ac:dyDescent="0.25">
      <c r="A58" s="34">
        <v>44085</v>
      </c>
      <c r="B58" s="4"/>
      <c r="C58" s="5" t="str">
        <f t="shared" si="17"/>
        <v/>
      </c>
      <c r="D58" s="4" t="str">
        <f t="shared" si="5"/>
        <v/>
      </c>
      <c r="E58" s="4">
        <f t="shared" si="15"/>
        <v>80</v>
      </c>
      <c r="F58" s="34" t="e">
        <f t="shared" si="16"/>
        <v>#VALUE!</v>
      </c>
      <c r="G58" s="4" t="str">
        <f t="shared" si="0"/>
        <v/>
      </c>
      <c r="H58" s="5" t="str">
        <f t="shared" si="18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0"/>
        <v>0</v>
      </c>
      <c r="U58" s="2" t="b">
        <f t="shared" si="13"/>
        <v>0</v>
      </c>
      <c r="V58" s="2" t="b">
        <f t="shared" si="21"/>
        <v>0</v>
      </c>
    </row>
    <row r="59" spans="1:22" x14ac:dyDescent="0.25">
      <c r="A59" s="34">
        <v>44092</v>
      </c>
      <c r="B59" s="4"/>
      <c r="C59" s="5" t="str">
        <f t="shared" si="17"/>
        <v/>
      </c>
      <c r="D59" s="4" t="str">
        <f t="shared" si="5"/>
        <v/>
      </c>
      <c r="E59" s="4">
        <f t="shared" si="15"/>
        <v>80</v>
      </c>
      <c r="F59" s="34" t="e">
        <f t="shared" si="16"/>
        <v>#VALUE!</v>
      </c>
      <c r="G59" s="4" t="str">
        <f t="shared" si="0"/>
        <v/>
      </c>
      <c r="H59" s="5" t="str">
        <f t="shared" si="18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0"/>
        <v>0</v>
      </c>
      <c r="U59" s="2" t="b">
        <f t="shared" si="13"/>
        <v>0</v>
      </c>
      <c r="V59" s="2" t="b">
        <f t="shared" si="21"/>
        <v>0</v>
      </c>
    </row>
    <row r="60" spans="1:22" x14ac:dyDescent="0.25">
      <c r="A60" s="34">
        <v>44099</v>
      </c>
      <c r="B60" s="4"/>
      <c r="C60" s="5" t="str">
        <f t="shared" si="17"/>
        <v/>
      </c>
      <c r="D60" s="4" t="str">
        <f t="shared" si="5"/>
        <v/>
      </c>
      <c r="E60" s="4">
        <f t="shared" si="15"/>
        <v>80</v>
      </c>
      <c r="F60" s="34" t="e">
        <f t="shared" si="16"/>
        <v>#VALUE!</v>
      </c>
      <c r="G60" s="4" t="str">
        <f t="shared" si="0"/>
        <v/>
      </c>
      <c r="H60" s="5" t="str">
        <f t="shared" si="18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0"/>
        <v>0</v>
      </c>
      <c r="U60" s="2" t="b">
        <f t="shared" si="13"/>
        <v>0</v>
      </c>
      <c r="V60" s="2" t="b">
        <f t="shared" si="21"/>
        <v>0</v>
      </c>
    </row>
    <row r="61" spans="1:22" x14ac:dyDescent="0.25">
      <c r="A61" s="34">
        <v>44106</v>
      </c>
      <c r="B61" s="4"/>
      <c r="C61" s="5" t="str">
        <f t="shared" si="17"/>
        <v/>
      </c>
      <c r="D61" s="4" t="str">
        <f t="shared" si="5"/>
        <v/>
      </c>
      <c r="E61" s="4">
        <f t="shared" si="15"/>
        <v>80</v>
      </c>
      <c r="F61" s="34" t="e">
        <f t="shared" si="16"/>
        <v>#VALUE!</v>
      </c>
      <c r="G61" s="4" t="str">
        <f t="shared" si="0"/>
        <v/>
      </c>
      <c r="H61" s="5" t="str">
        <f t="shared" si="18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0"/>
        <v>0</v>
      </c>
      <c r="U61" s="2" t="b">
        <f t="shared" si="13"/>
        <v>0</v>
      </c>
      <c r="V61" s="2" t="b">
        <f t="shared" si="21"/>
        <v>0</v>
      </c>
    </row>
    <row r="62" spans="1:22" x14ac:dyDescent="0.25">
      <c r="A62" s="34">
        <v>44113</v>
      </c>
      <c r="B62" s="4"/>
      <c r="C62" s="5" t="str">
        <f t="shared" si="17"/>
        <v/>
      </c>
      <c r="D62" s="4" t="str">
        <f t="shared" si="5"/>
        <v/>
      </c>
      <c r="E62" s="4">
        <f t="shared" si="15"/>
        <v>80</v>
      </c>
      <c r="F62" s="34" t="e">
        <f t="shared" si="16"/>
        <v>#VALUE!</v>
      </c>
      <c r="G62" s="4" t="str">
        <f t="shared" si="0"/>
        <v/>
      </c>
      <c r="H62" s="5" t="str">
        <f t="shared" si="18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0"/>
        <v>0</v>
      </c>
      <c r="U62" s="2" t="b">
        <f t="shared" si="13"/>
        <v>0</v>
      </c>
      <c r="V62" s="2" t="b">
        <f t="shared" si="21"/>
        <v>0</v>
      </c>
    </row>
    <row r="63" spans="1:22" x14ac:dyDescent="0.25">
      <c r="A63" s="34">
        <v>44120</v>
      </c>
      <c r="B63" s="4"/>
      <c r="C63" s="5" t="str">
        <f t="shared" si="17"/>
        <v/>
      </c>
      <c r="D63" s="4" t="str">
        <f t="shared" si="5"/>
        <v/>
      </c>
      <c r="E63" s="4">
        <f t="shared" si="15"/>
        <v>80</v>
      </c>
      <c r="F63" s="34" t="e">
        <f t="shared" si="16"/>
        <v>#VALUE!</v>
      </c>
      <c r="G63" s="4" t="str">
        <f t="shared" si="0"/>
        <v/>
      </c>
      <c r="H63" s="5" t="str">
        <f t="shared" si="18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0"/>
        <v>0</v>
      </c>
      <c r="U63" s="2" t="b">
        <f t="shared" si="13"/>
        <v>0</v>
      </c>
      <c r="V63" s="2" t="b">
        <f t="shared" si="21"/>
        <v>0</v>
      </c>
    </row>
    <row r="64" spans="1:22" x14ac:dyDescent="0.25">
      <c r="A64" s="34">
        <v>44127</v>
      </c>
      <c r="B64" s="4"/>
      <c r="C64" s="5" t="str">
        <f t="shared" si="17"/>
        <v/>
      </c>
      <c r="D64" s="4" t="str">
        <f t="shared" si="5"/>
        <v/>
      </c>
      <c r="E64" s="4">
        <f t="shared" si="15"/>
        <v>80</v>
      </c>
      <c r="F64" s="34" t="e">
        <f t="shared" si="16"/>
        <v>#VALUE!</v>
      </c>
      <c r="G64" s="4" t="str">
        <f t="shared" si="0"/>
        <v/>
      </c>
      <c r="H64" s="5" t="str">
        <f t="shared" si="18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0"/>
        <v>0</v>
      </c>
      <c r="U64" s="2" t="b">
        <f t="shared" si="13"/>
        <v>0</v>
      </c>
      <c r="V64" s="2" t="b">
        <f t="shared" si="21"/>
        <v>0</v>
      </c>
    </row>
    <row r="65" spans="1:22" x14ac:dyDescent="0.25">
      <c r="A65" s="34">
        <v>44134</v>
      </c>
      <c r="B65" s="4"/>
      <c r="C65" s="5" t="str">
        <f t="shared" si="17"/>
        <v/>
      </c>
      <c r="D65" s="4" t="str">
        <f t="shared" si="5"/>
        <v/>
      </c>
      <c r="E65" s="4">
        <f t="shared" si="15"/>
        <v>80</v>
      </c>
      <c r="F65" s="34" t="e">
        <f t="shared" si="16"/>
        <v>#VALUE!</v>
      </c>
      <c r="G65" s="4" t="str">
        <f t="shared" si="0"/>
        <v/>
      </c>
      <c r="H65" s="5" t="str">
        <f t="shared" si="18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0"/>
        <v>0</v>
      </c>
      <c r="U65" s="2" t="b">
        <f t="shared" si="13"/>
        <v>0</v>
      </c>
      <c r="V65" s="2" t="b">
        <f t="shared" si="21"/>
        <v>0</v>
      </c>
    </row>
    <row r="66" spans="1:22" x14ac:dyDescent="0.25">
      <c r="A66" s="34">
        <v>44141</v>
      </c>
      <c r="B66" s="4"/>
      <c r="C66" s="5" t="str">
        <f t="shared" si="17"/>
        <v/>
      </c>
      <c r="D66" s="4" t="str">
        <f t="shared" si="5"/>
        <v/>
      </c>
      <c r="E66" s="4">
        <f t="shared" si="15"/>
        <v>80</v>
      </c>
      <c r="F66" s="34" t="e">
        <f t="shared" si="16"/>
        <v>#VALUE!</v>
      </c>
      <c r="G66" s="4" t="str">
        <f t="shared" si="0"/>
        <v/>
      </c>
      <c r="H66" s="5" t="str">
        <f t="shared" si="18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0"/>
        <v>0</v>
      </c>
      <c r="U66" s="2" t="b">
        <f t="shared" si="13"/>
        <v>0</v>
      </c>
      <c r="V66" s="2" t="b">
        <f t="shared" si="21"/>
        <v>0</v>
      </c>
    </row>
    <row r="67" spans="1:22" x14ac:dyDescent="0.25">
      <c r="A67" s="34">
        <v>44148</v>
      </c>
      <c r="B67" s="4"/>
      <c r="C67" s="5" t="str">
        <f t="shared" si="17"/>
        <v/>
      </c>
      <c r="D67" s="4" t="str">
        <f t="shared" si="5"/>
        <v/>
      </c>
      <c r="E67" s="4">
        <f t="shared" si="15"/>
        <v>80</v>
      </c>
      <c r="F67" s="34" t="e">
        <f t="shared" si="16"/>
        <v>#VALUE!</v>
      </c>
      <c r="G67" s="4" t="str">
        <f t="shared" si="0"/>
        <v/>
      </c>
      <c r="H67" s="5" t="str">
        <f t="shared" si="18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0"/>
        <v>0</v>
      </c>
      <c r="U67" s="2" t="b">
        <f t="shared" si="13"/>
        <v>0</v>
      </c>
      <c r="V67" s="2" t="b">
        <f t="shared" si="21"/>
        <v>0</v>
      </c>
    </row>
    <row r="68" spans="1:22" x14ac:dyDescent="0.25">
      <c r="A68" s="34">
        <v>44155</v>
      </c>
      <c r="B68" s="4"/>
      <c r="C68" s="5" t="str">
        <f t="shared" si="17"/>
        <v/>
      </c>
      <c r="D68" s="4" t="str">
        <f t="shared" si="5"/>
        <v/>
      </c>
      <c r="E68" s="4">
        <f t="shared" si="15"/>
        <v>80</v>
      </c>
      <c r="F68" s="34" t="e">
        <f t="shared" si="16"/>
        <v>#VALUE!</v>
      </c>
      <c r="G68" s="4" t="str">
        <f t="shared" si="0"/>
        <v/>
      </c>
      <c r="H68" s="5" t="str">
        <f t="shared" si="18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0"/>
        <v>0</v>
      </c>
      <c r="U68" s="2" t="b">
        <f t="shared" si="13"/>
        <v>0</v>
      </c>
      <c r="V68" s="2" t="b">
        <f t="shared" si="21"/>
        <v>0</v>
      </c>
    </row>
    <row r="69" spans="1:22" x14ac:dyDescent="0.25">
      <c r="A69" s="34">
        <v>44162</v>
      </c>
      <c r="B69" s="4"/>
      <c r="C69" s="5" t="str">
        <f t="shared" si="17"/>
        <v/>
      </c>
      <c r="D69" s="4" t="str">
        <f t="shared" si="5"/>
        <v/>
      </c>
      <c r="E69" s="4">
        <f t="shared" si="15"/>
        <v>80</v>
      </c>
      <c r="F69" s="34" t="e">
        <f t="shared" si="16"/>
        <v>#VALUE!</v>
      </c>
      <c r="G69" s="4" t="str">
        <f t="shared" ref="G69:G115" si="22">IF(I69="","",I69)</f>
        <v/>
      </c>
      <c r="H69" s="5" t="str">
        <f t="shared" si="18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23">IF(F69&lt;&gt; " ",DATEVALUE(F69)," ")</f>
        <v>#VALUE!</v>
      </c>
      <c r="P69" s="2" t="e">
        <f t="shared" ref="P69:P115" si="24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0"/>
        <v>0</v>
      </c>
      <c r="U69" s="2" t="b">
        <f t="shared" si="13"/>
        <v>0</v>
      </c>
      <c r="V69" s="2" t="b">
        <f t="shared" si="21"/>
        <v>0</v>
      </c>
    </row>
    <row r="70" spans="1:22" x14ac:dyDescent="0.25">
      <c r="A70" s="34">
        <v>44169</v>
      </c>
      <c r="B70" s="4"/>
      <c r="C70" s="5" t="str">
        <f t="shared" si="17"/>
        <v/>
      </c>
      <c r="D70" s="4" t="str">
        <f t="shared" ref="D70:D113" si="25">IF(I70="","",B70+D69)</f>
        <v/>
      </c>
      <c r="E70" s="4">
        <f t="shared" si="15"/>
        <v>80</v>
      </c>
      <c r="F70" s="34" t="e">
        <f t="shared" si="16"/>
        <v>#VALUE!</v>
      </c>
      <c r="G70" s="4" t="str">
        <f t="shared" si="22"/>
        <v/>
      </c>
      <c r="H70" s="5" t="str">
        <f t="shared" si="18"/>
        <v/>
      </c>
      <c r="I70" s="4"/>
      <c r="J70" s="2" t="str">
        <f t="shared" ref="J70:J113" si="26">(IF(I70="","",I70+J69))</f>
        <v/>
      </c>
      <c r="K70" s="24" t="e">
        <f t="shared" ref="K70:K115" si="27">IF(I70&lt;&gt;"",IF(D71="",J70,""),K69+$G$2)</f>
        <v>#VALUE!</v>
      </c>
      <c r="L70" s="24" t="e">
        <f t="shared" ref="L70:L115" si="28">IF(I70&lt;&gt;"",IF(D71="",J70,""),L69+$G$2+$L$2)</f>
        <v>#VALUE!</v>
      </c>
      <c r="M70" s="24" t="e">
        <f t="shared" ref="M70:M115" si="29">IF(J70&lt;&gt;"",IF(D71="",K70,""),M69+$G$2-$L$2)</f>
        <v>#VALUE!</v>
      </c>
      <c r="O70" s="34" t="e">
        <f t="shared" si="23"/>
        <v>#VALUE!</v>
      </c>
      <c r="P70" s="2" t="e">
        <f t="shared" si="24"/>
        <v>#VALUE!</v>
      </c>
      <c r="Q70" s="2" t="e">
        <f t="shared" ref="Q70:Q113" si="30">IF(K70&gt;E70,"Y","N")</f>
        <v>#VALUE!</v>
      </c>
      <c r="R70" s="2" t="e">
        <f t="shared" ref="R70:R113" si="31">IF(M70&gt;E70,"Y","N")</f>
        <v>#VALUE!</v>
      </c>
      <c r="S70" s="2" t="str">
        <f t="shared" ref="S70:S113" si="32">IF(AND(ISBLANK(I71),NOT(ISBLANK(I70))),"Y","N")</f>
        <v>N</v>
      </c>
      <c r="T70" s="2" t="b">
        <f t="shared" si="20"/>
        <v>0</v>
      </c>
      <c r="U70" s="2" t="b">
        <f t="shared" ref="U70:U113" si="33">ISTEXT(O70)</f>
        <v>0</v>
      </c>
      <c r="V70" s="2" t="b">
        <f t="shared" si="21"/>
        <v>0</v>
      </c>
    </row>
    <row r="71" spans="1:22" x14ac:dyDescent="0.25">
      <c r="A71" s="34">
        <v>44176</v>
      </c>
      <c r="B71" s="4"/>
      <c r="C71" s="5" t="str">
        <f t="shared" si="17"/>
        <v/>
      </c>
      <c r="D71" s="4" t="str">
        <f t="shared" si="25"/>
        <v/>
      </c>
      <c r="E71" s="4">
        <f t="shared" ref="E71:E113" si="34">IF(I71&lt;&gt;"",IF(D72="",D71+$C$2,""),E70+$C$2)</f>
        <v>80</v>
      </c>
      <c r="F71" s="34" t="e">
        <f t="shared" ref="F71:F113" si="35">IF(OR(AND(S71="Y",S72="N"),AND(P71="Y",P70="N"),AND(Q71="Y",Q70="N"),AND(R71="Y",R70="N")),TEXT(A71,"mm/dd/yyyyy")," ")</f>
        <v>#VALUE!</v>
      </c>
      <c r="G71" s="4" t="str">
        <f t="shared" si="22"/>
        <v/>
      </c>
      <c r="H71" s="5" t="str">
        <f t="shared" si="18"/>
        <v/>
      </c>
      <c r="I71" s="4"/>
      <c r="J71" s="2" t="str">
        <f t="shared" si="26"/>
        <v/>
      </c>
      <c r="K71" s="24" t="e">
        <f t="shared" si="27"/>
        <v>#VALUE!</v>
      </c>
      <c r="L71" s="24" t="e">
        <f t="shared" si="28"/>
        <v>#VALUE!</v>
      </c>
      <c r="M71" s="24" t="e">
        <f t="shared" si="29"/>
        <v>#VALUE!</v>
      </c>
      <c r="O71" s="34" t="e">
        <f t="shared" si="23"/>
        <v>#VALUE!</v>
      </c>
      <c r="P71" s="2" t="e">
        <f t="shared" si="24"/>
        <v>#VALUE!</v>
      </c>
      <c r="Q71" s="2" t="e">
        <f t="shared" si="30"/>
        <v>#VALUE!</v>
      </c>
      <c r="R71" s="2" t="e">
        <f t="shared" si="31"/>
        <v>#VALUE!</v>
      </c>
      <c r="S71" s="2" t="str">
        <f t="shared" si="32"/>
        <v>N</v>
      </c>
      <c r="T71" s="2" t="b">
        <f t="shared" si="20"/>
        <v>0</v>
      </c>
      <c r="U71" s="2" t="b">
        <f t="shared" si="33"/>
        <v>0</v>
      </c>
      <c r="V71" s="2" t="b">
        <f t="shared" si="21"/>
        <v>0</v>
      </c>
    </row>
    <row r="72" spans="1:22" x14ac:dyDescent="0.25">
      <c r="A72" s="34">
        <v>44183</v>
      </c>
      <c r="B72" s="4"/>
      <c r="C72" s="5" t="str">
        <f t="shared" si="17"/>
        <v/>
      </c>
      <c r="D72" s="4" t="str">
        <f t="shared" si="25"/>
        <v/>
      </c>
      <c r="E72" s="4">
        <f t="shared" si="34"/>
        <v>80</v>
      </c>
      <c r="F72" s="34" t="e">
        <f t="shared" si="35"/>
        <v>#VALUE!</v>
      </c>
      <c r="G72" s="4" t="str">
        <f t="shared" si="22"/>
        <v/>
      </c>
      <c r="H72" s="5" t="str">
        <f t="shared" si="18"/>
        <v/>
      </c>
      <c r="I72" s="4"/>
      <c r="J72" s="2" t="str">
        <f t="shared" si="26"/>
        <v/>
      </c>
      <c r="K72" s="24" t="e">
        <f t="shared" si="27"/>
        <v>#VALUE!</v>
      </c>
      <c r="L72" s="24" t="e">
        <f t="shared" si="28"/>
        <v>#VALUE!</v>
      </c>
      <c r="M72" s="24" t="e">
        <f t="shared" si="29"/>
        <v>#VALUE!</v>
      </c>
      <c r="O72" s="34" t="e">
        <f t="shared" si="23"/>
        <v>#VALUE!</v>
      </c>
      <c r="P72" s="2" t="e">
        <f t="shared" si="24"/>
        <v>#VALUE!</v>
      </c>
      <c r="Q72" s="2" t="e">
        <f t="shared" si="30"/>
        <v>#VALUE!</v>
      </c>
      <c r="R72" s="2" t="e">
        <f t="shared" si="31"/>
        <v>#VALUE!</v>
      </c>
      <c r="S72" s="2" t="str">
        <f t="shared" si="32"/>
        <v>N</v>
      </c>
      <c r="T72" s="2" t="b">
        <f t="shared" si="20"/>
        <v>0</v>
      </c>
      <c r="U72" s="2" t="b">
        <f t="shared" si="33"/>
        <v>0</v>
      </c>
      <c r="V72" s="2" t="b">
        <f t="shared" si="21"/>
        <v>0</v>
      </c>
    </row>
    <row r="73" spans="1:22" x14ac:dyDescent="0.25">
      <c r="A73" s="34">
        <v>44190</v>
      </c>
      <c r="B73" s="4"/>
      <c r="C73" s="5" t="str">
        <f t="shared" ref="C73:C113" si="36">IF(B73="","",ROUND(AVERAGE(B70:B73),2))</f>
        <v/>
      </c>
      <c r="D73" s="4" t="str">
        <f t="shared" si="25"/>
        <v/>
      </c>
      <c r="E73" s="4">
        <f t="shared" si="34"/>
        <v>80</v>
      </c>
      <c r="F73" s="34" t="e">
        <f t="shared" si="35"/>
        <v>#VALUE!</v>
      </c>
      <c r="G73" s="4" t="str">
        <f t="shared" si="22"/>
        <v/>
      </c>
      <c r="H73" s="5" t="str">
        <f t="shared" ref="H73:H113" si="37">IF(I73="","",ROUND(AVERAGE(G70:G73),2))</f>
        <v/>
      </c>
      <c r="I73" s="4"/>
      <c r="J73" s="2" t="str">
        <f t="shared" si="26"/>
        <v/>
      </c>
      <c r="K73" s="24" t="e">
        <f t="shared" si="27"/>
        <v>#VALUE!</v>
      </c>
      <c r="L73" s="24" t="e">
        <f t="shared" si="28"/>
        <v>#VALUE!</v>
      </c>
      <c r="M73" s="24" t="e">
        <f t="shared" si="29"/>
        <v>#VALUE!</v>
      </c>
      <c r="O73" s="34" t="e">
        <f t="shared" si="23"/>
        <v>#VALUE!</v>
      </c>
      <c r="P73" s="2" t="e">
        <f t="shared" si="24"/>
        <v>#VALUE!</v>
      </c>
      <c r="Q73" s="2" t="e">
        <f t="shared" si="30"/>
        <v>#VALUE!</v>
      </c>
      <c r="R73" s="2" t="e">
        <f t="shared" si="31"/>
        <v>#VALUE!</v>
      </c>
      <c r="S73" s="2" t="str">
        <f t="shared" si="32"/>
        <v>N</v>
      </c>
      <c r="T73" s="2" t="b">
        <f t="shared" si="20"/>
        <v>0</v>
      </c>
      <c r="U73" s="2" t="b">
        <f t="shared" si="33"/>
        <v>0</v>
      </c>
      <c r="V73" s="2" t="b">
        <f t="shared" si="21"/>
        <v>0</v>
      </c>
    </row>
    <row r="74" spans="1:22" x14ac:dyDescent="0.25">
      <c r="A74" s="34">
        <v>44197</v>
      </c>
      <c r="B74" s="4"/>
      <c r="C74" s="5" t="str">
        <f t="shared" si="36"/>
        <v/>
      </c>
      <c r="D74" s="4" t="str">
        <f t="shared" si="25"/>
        <v/>
      </c>
      <c r="E74" s="4">
        <f t="shared" si="34"/>
        <v>80</v>
      </c>
      <c r="F74" s="34" t="e">
        <f t="shared" si="35"/>
        <v>#VALUE!</v>
      </c>
      <c r="G74" s="4" t="str">
        <f t="shared" si="22"/>
        <v/>
      </c>
      <c r="H74" s="5" t="str">
        <f t="shared" si="37"/>
        <v/>
      </c>
      <c r="I74" s="4"/>
      <c r="J74" s="2" t="str">
        <f t="shared" si="26"/>
        <v/>
      </c>
      <c r="K74" s="24" t="e">
        <f t="shared" si="27"/>
        <v>#VALUE!</v>
      </c>
      <c r="L74" s="24" t="e">
        <f t="shared" si="28"/>
        <v>#VALUE!</v>
      </c>
      <c r="M74" s="24" t="e">
        <f t="shared" si="29"/>
        <v>#VALUE!</v>
      </c>
      <c r="O74" s="34" t="e">
        <f t="shared" si="23"/>
        <v>#VALUE!</v>
      </c>
      <c r="P74" s="2" t="e">
        <f t="shared" si="24"/>
        <v>#VALUE!</v>
      </c>
      <c r="Q74" s="2" t="e">
        <f t="shared" si="30"/>
        <v>#VALUE!</v>
      </c>
      <c r="R74" s="2" t="e">
        <f t="shared" si="31"/>
        <v>#VALUE!</v>
      </c>
      <c r="S74" s="2" t="str">
        <f t="shared" si="32"/>
        <v>N</v>
      </c>
      <c r="T74" s="2" t="b">
        <f t="shared" si="20"/>
        <v>0</v>
      </c>
      <c r="U74" s="2" t="b">
        <f t="shared" si="33"/>
        <v>0</v>
      </c>
      <c r="V74" s="2" t="b">
        <f t="shared" si="21"/>
        <v>0</v>
      </c>
    </row>
    <row r="75" spans="1:22" x14ac:dyDescent="0.25">
      <c r="A75" s="34">
        <v>44204</v>
      </c>
      <c r="B75" s="4"/>
      <c r="C75" s="5" t="str">
        <f t="shared" si="36"/>
        <v/>
      </c>
      <c r="D75" s="4" t="str">
        <f t="shared" si="25"/>
        <v/>
      </c>
      <c r="E75" s="4">
        <f t="shared" si="34"/>
        <v>80</v>
      </c>
      <c r="F75" s="34" t="e">
        <f t="shared" si="35"/>
        <v>#VALUE!</v>
      </c>
      <c r="G75" s="4" t="str">
        <f t="shared" si="22"/>
        <v/>
      </c>
      <c r="H75" s="5" t="str">
        <f t="shared" si="37"/>
        <v/>
      </c>
      <c r="I75" s="4"/>
      <c r="J75" s="2" t="str">
        <f t="shared" si="26"/>
        <v/>
      </c>
      <c r="K75" s="24" t="e">
        <f t="shared" si="27"/>
        <v>#VALUE!</v>
      </c>
      <c r="L75" s="24" t="e">
        <f t="shared" si="28"/>
        <v>#VALUE!</v>
      </c>
      <c r="M75" s="24" t="e">
        <f t="shared" si="29"/>
        <v>#VALUE!</v>
      </c>
      <c r="O75" s="34" t="e">
        <f t="shared" si="23"/>
        <v>#VALUE!</v>
      </c>
      <c r="P75" s="2" t="e">
        <f t="shared" si="24"/>
        <v>#VALUE!</v>
      </c>
      <c r="Q75" s="2" t="e">
        <f t="shared" si="30"/>
        <v>#VALUE!</v>
      </c>
      <c r="R75" s="2" t="e">
        <f t="shared" si="31"/>
        <v>#VALUE!</v>
      </c>
      <c r="S75" s="2" t="str">
        <f t="shared" si="32"/>
        <v>N</v>
      </c>
      <c r="T75" s="2" t="b">
        <f t="shared" si="20"/>
        <v>0</v>
      </c>
      <c r="U75" s="2" t="b">
        <f t="shared" si="33"/>
        <v>0</v>
      </c>
      <c r="V75" s="2" t="b">
        <f t="shared" si="21"/>
        <v>0</v>
      </c>
    </row>
    <row r="76" spans="1:22" x14ac:dyDescent="0.25">
      <c r="A76" s="34">
        <v>44211</v>
      </c>
      <c r="B76" s="4"/>
      <c r="C76" s="5" t="str">
        <f t="shared" si="36"/>
        <v/>
      </c>
      <c r="D76" s="4" t="str">
        <f t="shared" si="25"/>
        <v/>
      </c>
      <c r="E76" s="4">
        <f t="shared" si="34"/>
        <v>80</v>
      </c>
      <c r="F76" s="34" t="e">
        <f t="shared" si="35"/>
        <v>#VALUE!</v>
      </c>
      <c r="G76" s="4" t="str">
        <f t="shared" si="22"/>
        <v/>
      </c>
      <c r="H76" s="5" t="str">
        <f t="shared" si="37"/>
        <v/>
      </c>
      <c r="I76" s="4"/>
      <c r="J76" s="2" t="str">
        <f t="shared" si="26"/>
        <v/>
      </c>
      <c r="K76" s="24" t="e">
        <f t="shared" si="27"/>
        <v>#VALUE!</v>
      </c>
      <c r="L76" s="24" t="e">
        <f t="shared" si="28"/>
        <v>#VALUE!</v>
      </c>
      <c r="M76" s="24" t="e">
        <f t="shared" si="29"/>
        <v>#VALUE!</v>
      </c>
      <c r="O76" s="34" t="e">
        <f t="shared" si="23"/>
        <v>#VALUE!</v>
      </c>
      <c r="P76" s="2" t="e">
        <f t="shared" si="24"/>
        <v>#VALUE!</v>
      </c>
      <c r="Q76" s="2" t="e">
        <f t="shared" si="30"/>
        <v>#VALUE!</v>
      </c>
      <c r="R76" s="2" t="e">
        <f t="shared" si="31"/>
        <v>#VALUE!</v>
      </c>
      <c r="S76" s="2" t="str">
        <f t="shared" si="32"/>
        <v>N</v>
      </c>
      <c r="T76" s="2" t="b">
        <f t="shared" si="20"/>
        <v>0</v>
      </c>
      <c r="U76" s="2" t="b">
        <f t="shared" si="33"/>
        <v>0</v>
      </c>
      <c r="V76" s="2" t="b">
        <f t="shared" si="21"/>
        <v>0</v>
      </c>
    </row>
    <row r="77" spans="1:22" x14ac:dyDescent="0.25">
      <c r="A77" s="34">
        <v>44218</v>
      </c>
      <c r="B77" s="4"/>
      <c r="C77" s="5" t="str">
        <f t="shared" si="36"/>
        <v/>
      </c>
      <c r="D77" s="4" t="str">
        <f t="shared" si="25"/>
        <v/>
      </c>
      <c r="E77" s="4">
        <f t="shared" si="34"/>
        <v>80</v>
      </c>
      <c r="F77" s="34" t="e">
        <f t="shared" si="35"/>
        <v>#VALUE!</v>
      </c>
      <c r="G77" s="4" t="str">
        <f t="shared" si="22"/>
        <v/>
      </c>
      <c r="H77" s="5" t="str">
        <f t="shared" si="37"/>
        <v/>
      </c>
      <c r="I77" s="4"/>
      <c r="J77" s="2" t="str">
        <f t="shared" si="26"/>
        <v/>
      </c>
      <c r="K77" s="24" t="e">
        <f t="shared" si="27"/>
        <v>#VALUE!</v>
      </c>
      <c r="L77" s="24" t="e">
        <f t="shared" si="28"/>
        <v>#VALUE!</v>
      </c>
      <c r="M77" s="24" t="e">
        <f t="shared" si="29"/>
        <v>#VALUE!</v>
      </c>
      <c r="O77" s="34" t="e">
        <f t="shared" si="23"/>
        <v>#VALUE!</v>
      </c>
      <c r="P77" s="2" t="e">
        <f t="shared" si="24"/>
        <v>#VALUE!</v>
      </c>
      <c r="Q77" s="2" t="e">
        <f t="shared" si="30"/>
        <v>#VALUE!</v>
      </c>
      <c r="R77" s="2" t="e">
        <f t="shared" si="31"/>
        <v>#VALUE!</v>
      </c>
      <c r="S77" s="2" t="str">
        <f t="shared" si="32"/>
        <v>N</v>
      </c>
      <c r="T77" s="2" t="b">
        <f t="shared" si="20"/>
        <v>0</v>
      </c>
      <c r="U77" s="2" t="b">
        <f t="shared" si="33"/>
        <v>0</v>
      </c>
      <c r="V77" s="2" t="b">
        <f t="shared" si="21"/>
        <v>0</v>
      </c>
    </row>
    <row r="78" spans="1:22" x14ac:dyDescent="0.25">
      <c r="A78" s="34">
        <v>44225</v>
      </c>
      <c r="B78" s="4"/>
      <c r="C78" s="5" t="str">
        <f t="shared" si="36"/>
        <v/>
      </c>
      <c r="D78" s="4" t="str">
        <f t="shared" si="25"/>
        <v/>
      </c>
      <c r="E78" s="4">
        <f t="shared" si="34"/>
        <v>80</v>
      </c>
      <c r="F78" s="34" t="e">
        <f t="shared" si="35"/>
        <v>#VALUE!</v>
      </c>
      <c r="G78" s="4" t="str">
        <f t="shared" si="22"/>
        <v/>
      </c>
      <c r="H78" s="5" t="str">
        <f t="shared" si="37"/>
        <v/>
      </c>
      <c r="I78" s="4"/>
      <c r="J78" s="2" t="str">
        <f t="shared" si="26"/>
        <v/>
      </c>
      <c r="K78" s="24" t="e">
        <f t="shared" si="27"/>
        <v>#VALUE!</v>
      </c>
      <c r="L78" s="24" t="e">
        <f t="shared" si="28"/>
        <v>#VALUE!</v>
      </c>
      <c r="M78" s="24" t="e">
        <f t="shared" si="29"/>
        <v>#VALUE!</v>
      </c>
      <c r="O78" s="34" t="e">
        <f t="shared" si="23"/>
        <v>#VALUE!</v>
      </c>
      <c r="P78" s="2" t="e">
        <f t="shared" si="24"/>
        <v>#VALUE!</v>
      </c>
      <c r="Q78" s="2" t="e">
        <f t="shared" si="30"/>
        <v>#VALUE!</v>
      </c>
      <c r="R78" s="2" t="e">
        <f t="shared" si="31"/>
        <v>#VALUE!</v>
      </c>
      <c r="S78" s="2" t="str">
        <f t="shared" si="32"/>
        <v>N</v>
      </c>
      <c r="T78" s="2" t="b">
        <f t="shared" si="20"/>
        <v>0</v>
      </c>
      <c r="U78" s="2" t="b">
        <f t="shared" si="33"/>
        <v>0</v>
      </c>
      <c r="V78" s="2" t="b">
        <f t="shared" si="21"/>
        <v>0</v>
      </c>
    </row>
    <row r="79" spans="1:22" x14ac:dyDescent="0.25">
      <c r="A79" s="34">
        <v>44232</v>
      </c>
      <c r="B79" s="4"/>
      <c r="C79" s="5" t="str">
        <f t="shared" si="36"/>
        <v/>
      </c>
      <c r="D79" s="4" t="str">
        <f t="shared" si="25"/>
        <v/>
      </c>
      <c r="E79" s="4">
        <f t="shared" si="34"/>
        <v>80</v>
      </c>
      <c r="F79" s="34" t="e">
        <f t="shared" si="35"/>
        <v>#VALUE!</v>
      </c>
      <c r="G79" s="4" t="str">
        <f t="shared" si="22"/>
        <v/>
      </c>
      <c r="H79" s="5" t="str">
        <f t="shared" si="37"/>
        <v/>
      </c>
      <c r="I79" s="4"/>
      <c r="J79" s="2" t="str">
        <f t="shared" si="26"/>
        <v/>
      </c>
      <c r="K79" s="24" t="e">
        <f t="shared" si="27"/>
        <v>#VALUE!</v>
      </c>
      <c r="L79" s="24" t="e">
        <f t="shared" si="28"/>
        <v>#VALUE!</v>
      </c>
      <c r="M79" s="24" t="e">
        <f t="shared" si="29"/>
        <v>#VALUE!</v>
      </c>
      <c r="O79" s="34" t="e">
        <f t="shared" si="23"/>
        <v>#VALUE!</v>
      </c>
      <c r="P79" s="2" t="e">
        <f t="shared" si="24"/>
        <v>#VALUE!</v>
      </c>
      <c r="Q79" s="2" t="e">
        <f t="shared" si="30"/>
        <v>#VALUE!</v>
      </c>
      <c r="R79" s="2" t="e">
        <f t="shared" si="31"/>
        <v>#VALUE!</v>
      </c>
      <c r="S79" s="2" t="str">
        <f t="shared" si="32"/>
        <v>N</v>
      </c>
      <c r="T79" s="2" t="b">
        <f t="shared" si="20"/>
        <v>0</v>
      </c>
      <c r="U79" s="2" t="b">
        <f t="shared" si="33"/>
        <v>0</v>
      </c>
      <c r="V79" s="2" t="b">
        <f t="shared" si="21"/>
        <v>0</v>
      </c>
    </row>
    <row r="80" spans="1:22" x14ac:dyDescent="0.25">
      <c r="A80" s="34">
        <v>44239</v>
      </c>
      <c r="B80" s="4"/>
      <c r="C80" s="5" t="str">
        <f t="shared" si="36"/>
        <v/>
      </c>
      <c r="D80" s="4" t="str">
        <f t="shared" si="25"/>
        <v/>
      </c>
      <c r="E80" s="4">
        <f t="shared" si="34"/>
        <v>80</v>
      </c>
      <c r="F80" s="34" t="e">
        <f t="shared" si="35"/>
        <v>#VALUE!</v>
      </c>
      <c r="G80" s="4" t="str">
        <f t="shared" si="22"/>
        <v/>
      </c>
      <c r="H80" s="5" t="str">
        <f t="shared" si="37"/>
        <v/>
      </c>
      <c r="I80" s="4"/>
      <c r="J80" s="2" t="str">
        <f t="shared" si="26"/>
        <v/>
      </c>
      <c r="K80" s="24" t="e">
        <f t="shared" si="27"/>
        <v>#VALUE!</v>
      </c>
      <c r="L80" s="24" t="e">
        <f t="shared" si="28"/>
        <v>#VALUE!</v>
      </c>
      <c r="M80" s="24" t="e">
        <f t="shared" si="29"/>
        <v>#VALUE!</v>
      </c>
      <c r="O80" s="34" t="e">
        <f t="shared" si="23"/>
        <v>#VALUE!</v>
      </c>
      <c r="P80" s="2" t="e">
        <f t="shared" si="24"/>
        <v>#VALUE!</v>
      </c>
      <c r="Q80" s="2" t="e">
        <f t="shared" si="30"/>
        <v>#VALUE!</v>
      </c>
      <c r="R80" s="2" t="e">
        <f t="shared" si="31"/>
        <v>#VALUE!</v>
      </c>
      <c r="S80" s="2" t="str">
        <f t="shared" si="32"/>
        <v>N</v>
      </c>
      <c r="T80" s="2" t="b">
        <f t="shared" si="20"/>
        <v>0</v>
      </c>
      <c r="U80" s="2" t="b">
        <f t="shared" si="33"/>
        <v>0</v>
      </c>
      <c r="V80" s="2" t="b">
        <f t="shared" si="21"/>
        <v>0</v>
      </c>
    </row>
    <row r="81" spans="1:24" x14ac:dyDescent="0.25">
      <c r="A81" s="34">
        <v>44246</v>
      </c>
      <c r="B81" s="4"/>
      <c r="C81" s="5" t="str">
        <f t="shared" si="36"/>
        <v/>
      </c>
      <c r="D81" s="4" t="str">
        <f t="shared" si="25"/>
        <v/>
      </c>
      <c r="E81" s="4">
        <f t="shared" si="34"/>
        <v>80</v>
      </c>
      <c r="F81" s="34" t="e">
        <f t="shared" si="35"/>
        <v>#VALUE!</v>
      </c>
      <c r="G81" s="4" t="str">
        <f t="shared" si="22"/>
        <v/>
      </c>
      <c r="H81" s="5" t="str">
        <f t="shared" si="37"/>
        <v/>
      </c>
      <c r="I81" s="4"/>
      <c r="J81" s="2" t="str">
        <f t="shared" si="26"/>
        <v/>
      </c>
      <c r="K81" s="24" t="e">
        <f t="shared" si="27"/>
        <v>#VALUE!</v>
      </c>
      <c r="L81" s="24" t="e">
        <f t="shared" si="28"/>
        <v>#VALUE!</v>
      </c>
      <c r="M81" s="24" t="e">
        <f t="shared" si="29"/>
        <v>#VALUE!</v>
      </c>
      <c r="O81" s="34" t="e">
        <f t="shared" si="23"/>
        <v>#VALUE!</v>
      </c>
      <c r="P81" s="2" t="e">
        <f t="shared" si="24"/>
        <v>#VALUE!</v>
      </c>
      <c r="Q81" s="2" t="e">
        <f t="shared" si="30"/>
        <v>#VALUE!</v>
      </c>
      <c r="R81" s="2" t="e">
        <f t="shared" si="31"/>
        <v>#VALUE!</v>
      </c>
      <c r="S81" s="2" t="str">
        <f t="shared" si="32"/>
        <v>N</v>
      </c>
      <c r="T81" s="2" t="b">
        <f t="shared" si="20"/>
        <v>0</v>
      </c>
      <c r="U81" s="2" t="b">
        <f t="shared" si="33"/>
        <v>0</v>
      </c>
      <c r="V81" s="2" t="b">
        <f t="shared" si="21"/>
        <v>0</v>
      </c>
    </row>
    <row r="82" spans="1:24" x14ac:dyDescent="0.25">
      <c r="A82" s="34">
        <v>44253</v>
      </c>
      <c r="B82" s="4"/>
      <c r="C82" s="5" t="str">
        <f t="shared" si="36"/>
        <v/>
      </c>
      <c r="D82" s="4" t="str">
        <f t="shared" si="25"/>
        <v/>
      </c>
      <c r="E82" s="4">
        <f t="shared" si="34"/>
        <v>80</v>
      </c>
      <c r="F82" s="34" t="e">
        <f t="shared" si="35"/>
        <v>#VALUE!</v>
      </c>
      <c r="G82" s="4" t="str">
        <f t="shared" si="22"/>
        <v/>
      </c>
      <c r="H82" s="5" t="str">
        <f t="shared" si="37"/>
        <v/>
      </c>
      <c r="I82" s="4"/>
      <c r="J82" s="2" t="str">
        <f t="shared" si="26"/>
        <v/>
      </c>
      <c r="K82" s="24" t="e">
        <f t="shared" si="27"/>
        <v>#VALUE!</v>
      </c>
      <c r="L82" s="24" t="e">
        <f t="shared" si="28"/>
        <v>#VALUE!</v>
      </c>
      <c r="M82" s="24" t="e">
        <f t="shared" si="29"/>
        <v>#VALUE!</v>
      </c>
      <c r="O82" s="34" t="e">
        <f t="shared" si="23"/>
        <v>#VALUE!</v>
      </c>
      <c r="P82" s="2" t="e">
        <f t="shared" si="24"/>
        <v>#VALUE!</v>
      </c>
      <c r="Q82" s="2" t="e">
        <f t="shared" si="30"/>
        <v>#VALUE!</v>
      </c>
      <c r="R82" s="2" t="e">
        <f t="shared" si="31"/>
        <v>#VALUE!</v>
      </c>
      <c r="S82" s="2" t="str">
        <f t="shared" si="32"/>
        <v>N</v>
      </c>
      <c r="T82" s="2" t="b">
        <f t="shared" si="20"/>
        <v>0</v>
      </c>
      <c r="U82" s="2" t="b">
        <f t="shared" si="33"/>
        <v>0</v>
      </c>
      <c r="V82" s="2" t="b">
        <f t="shared" si="21"/>
        <v>0</v>
      </c>
    </row>
    <row r="83" spans="1:24" x14ac:dyDescent="0.25">
      <c r="A83" s="34">
        <v>44260</v>
      </c>
      <c r="B83" s="4"/>
      <c r="C83" s="5" t="str">
        <f t="shared" si="36"/>
        <v/>
      </c>
      <c r="D83" s="4" t="str">
        <f t="shared" si="25"/>
        <v/>
      </c>
      <c r="E83" s="4">
        <f t="shared" si="34"/>
        <v>80</v>
      </c>
      <c r="F83" s="34" t="e">
        <f t="shared" si="35"/>
        <v>#VALUE!</v>
      </c>
      <c r="G83" s="4" t="str">
        <f t="shared" si="22"/>
        <v/>
      </c>
      <c r="H83" s="5" t="str">
        <f t="shared" si="37"/>
        <v/>
      </c>
      <c r="I83" s="4"/>
      <c r="J83" s="2" t="str">
        <f t="shared" si="26"/>
        <v/>
      </c>
      <c r="K83" s="24" t="e">
        <f t="shared" si="27"/>
        <v>#VALUE!</v>
      </c>
      <c r="L83" s="24" t="e">
        <f t="shared" si="28"/>
        <v>#VALUE!</v>
      </c>
      <c r="M83" s="24" t="e">
        <f t="shared" si="29"/>
        <v>#VALUE!</v>
      </c>
      <c r="O83" s="34" t="e">
        <f t="shared" si="23"/>
        <v>#VALUE!</v>
      </c>
      <c r="P83" s="2" t="e">
        <f t="shared" si="24"/>
        <v>#VALUE!</v>
      </c>
      <c r="Q83" s="2" t="e">
        <f t="shared" si="30"/>
        <v>#VALUE!</v>
      </c>
      <c r="R83" s="2" t="e">
        <f t="shared" si="31"/>
        <v>#VALUE!</v>
      </c>
      <c r="S83" s="2" t="str">
        <f t="shared" si="32"/>
        <v>N</v>
      </c>
      <c r="T83" s="2" t="b">
        <f t="shared" si="20"/>
        <v>0</v>
      </c>
      <c r="U83" s="2" t="b">
        <f t="shared" si="33"/>
        <v>0</v>
      </c>
      <c r="V83" s="2" t="b">
        <f t="shared" si="21"/>
        <v>0</v>
      </c>
    </row>
    <row r="84" spans="1:24" x14ac:dyDescent="0.25">
      <c r="A84" s="34">
        <v>44267</v>
      </c>
      <c r="B84" s="4"/>
      <c r="C84" s="5" t="str">
        <f t="shared" si="36"/>
        <v/>
      </c>
      <c r="D84" s="4" t="str">
        <f t="shared" si="25"/>
        <v/>
      </c>
      <c r="E84" s="4">
        <f t="shared" si="34"/>
        <v>80</v>
      </c>
      <c r="F84" s="34" t="e">
        <f t="shared" si="35"/>
        <v>#VALUE!</v>
      </c>
      <c r="G84" s="4" t="str">
        <f t="shared" si="22"/>
        <v/>
      </c>
      <c r="H84" s="5" t="str">
        <f t="shared" si="37"/>
        <v/>
      </c>
      <c r="I84" s="4"/>
      <c r="J84" s="2" t="str">
        <f t="shared" si="26"/>
        <v/>
      </c>
      <c r="K84" s="24" t="e">
        <f t="shared" si="27"/>
        <v>#VALUE!</v>
      </c>
      <c r="L84" s="24" t="e">
        <f t="shared" si="28"/>
        <v>#VALUE!</v>
      </c>
      <c r="M84" s="24" t="e">
        <f t="shared" si="29"/>
        <v>#VALUE!</v>
      </c>
      <c r="O84" s="34" t="e">
        <f t="shared" si="23"/>
        <v>#VALUE!</v>
      </c>
      <c r="P84" s="2" t="e">
        <f t="shared" si="24"/>
        <v>#VALUE!</v>
      </c>
      <c r="Q84" s="2" t="e">
        <f t="shared" si="30"/>
        <v>#VALUE!</v>
      </c>
      <c r="R84" s="2" t="e">
        <f t="shared" si="31"/>
        <v>#VALUE!</v>
      </c>
      <c r="S84" s="2" t="str">
        <f t="shared" si="32"/>
        <v>N</v>
      </c>
      <c r="T84" s="2" t="b">
        <f t="shared" si="20"/>
        <v>0</v>
      </c>
      <c r="U84" s="2" t="b">
        <f t="shared" si="33"/>
        <v>0</v>
      </c>
      <c r="V84" s="2" t="b">
        <f t="shared" si="21"/>
        <v>0</v>
      </c>
    </row>
    <row r="85" spans="1:24" x14ac:dyDescent="0.25">
      <c r="A85" s="34">
        <v>44274</v>
      </c>
      <c r="B85" s="4"/>
      <c r="C85" s="5" t="str">
        <f t="shared" si="36"/>
        <v/>
      </c>
      <c r="D85" s="4" t="str">
        <f t="shared" si="25"/>
        <v/>
      </c>
      <c r="E85" s="4">
        <f t="shared" si="34"/>
        <v>80</v>
      </c>
      <c r="F85" s="34" t="e">
        <f t="shared" si="35"/>
        <v>#VALUE!</v>
      </c>
      <c r="G85" s="4" t="str">
        <f t="shared" si="22"/>
        <v/>
      </c>
      <c r="H85" s="5" t="str">
        <f t="shared" si="37"/>
        <v/>
      </c>
      <c r="I85" s="4"/>
      <c r="J85" s="2" t="str">
        <f t="shared" si="26"/>
        <v/>
      </c>
      <c r="K85" s="24" t="e">
        <f t="shared" si="27"/>
        <v>#VALUE!</v>
      </c>
      <c r="L85" s="24" t="e">
        <f t="shared" si="28"/>
        <v>#VALUE!</v>
      </c>
      <c r="M85" s="24" t="e">
        <f t="shared" si="29"/>
        <v>#VALUE!</v>
      </c>
      <c r="O85" s="34" t="e">
        <f t="shared" si="23"/>
        <v>#VALUE!</v>
      </c>
      <c r="P85" s="2" t="e">
        <f t="shared" si="24"/>
        <v>#VALUE!</v>
      </c>
      <c r="Q85" s="2" t="e">
        <f t="shared" si="30"/>
        <v>#VALUE!</v>
      </c>
      <c r="R85" s="2" t="e">
        <f t="shared" si="31"/>
        <v>#VALUE!</v>
      </c>
      <c r="S85" s="2" t="str">
        <f t="shared" si="32"/>
        <v>N</v>
      </c>
      <c r="T85" s="2" t="b">
        <f t="shared" si="20"/>
        <v>0</v>
      </c>
      <c r="U85" s="2" t="b">
        <f t="shared" si="33"/>
        <v>0</v>
      </c>
      <c r="V85" s="2" t="b">
        <f t="shared" si="21"/>
        <v>0</v>
      </c>
    </row>
    <row r="86" spans="1:24" x14ac:dyDescent="0.25">
      <c r="A86" s="34">
        <v>44281</v>
      </c>
      <c r="B86" s="4"/>
      <c r="C86" s="5" t="str">
        <f t="shared" si="36"/>
        <v/>
      </c>
      <c r="D86" s="4" t="str">
        <f t="shared" si="25"/>
        <v/>
      </c>
      <c r="E86" s="4">
        <f t="shared" si="34"/>
        <v>80</v>
      </c>
      <c r="F86" s="34" t="e">
        <f t="shared" si="35"/>
        <v>#VALUE!</v>
      </c>
      <c r="G86" s="4" t="str">
        <f t="shared" si="22"/>
        <v/>
      </c>
      <c r="H86" s="5" t="str">
        <f t="shared" si="37"/>
        <v/>
      </c>
      <c r="I86" s="4"/>
      <c r="J86" s="2" t="str">
        <f t="shared" si="26"/>
        <v/>
      </c>
      <c r="K86" s="24" t="e">
        <f t="shared" si="27"/>
        <v>#VALUE!</v>
      </c>
      <c r="L86" s="24" t="e">
        <f t="shared" si="28"/>
        <v>#VALUE!</v>
      </c>
      <c r="M86" s="24" t="e">
        <f t="shared" si="29"/>
        <v>#VALUE!</v>
      </c>
      <c r="O86" s="34" t="e">
        <f t="shared" si="23"/>
        <v>#VALUE!</v>
      </c>
      <c r="P86" s="2" t="e">
        <f t="shared" si="24"/>
        <v>#VALUE!</v>
      </c>
      <c r="Q86" s="2" t="e">
        <f t="shared" si="30"/>
        <v>#VALUE!</v>
      </c>
      <c r="R86" s="2" t="e">
        <f t="shared" si="31"/>
        <v>#VALUE!</v>
      </c>
      <c r="S86" s="2" t="str">
        <f t="shared" si="32"/>
        <v>N</v>
      </c>
      <c r="T86" s="2" t="b">
        <f t="shared" si="20"/>
        <v>0</v>
      </c>
      <c r="U86" s="2" t="b">
        <f t="shared" si="33"/>
        <v>0</v>
      </c>
      <c r="V86" s="2" t="b">
        <f t="shared" si="21"/>
        <v>0</v>
      </c>
    </row>
    <row r="87" spans="1:24" x14ac:dyDescent="0.25">
      <c r="A87" s="34">
        <v>44288</v>
      </c>
      <c r="B87" s="4"/>
      <c r="C87" s="5" t="str">
        <f t="shared" si="36"/>
        <v/>
      </c>
      <c r="D87" s="4" t="str">
        <f t="shared" si="25"/>
        <v/>
      </c>
      <c r="E87" s="4">
        <f t="shared" si="34"/>
        <v>80</v>
      </c>
      <c r="F87" s="34" t="e">
        <f t="shared" si="35"/>
        <v>#VALUE!</v>
      </c>
      <c r="G87" s="4" t="str">
        <f t="shared" si="22"/>
        <v/>
      </c>
      <c r="H87" s="5" t="str">
        <f t="shared" si="37"/>
        <v/>
      </c>
      <c r="I87" s="4"/>
      <c r="J87" s="2" t="str">
        <f t="shared" si="26"/>
        <v/>
      </c>
      <c r="K87" s="24" t="e">
        <f t="shared" si="27"/>
        <v>#VALUE!</v>
      </c>
      <c r="L87" s="24" t="e">
        <f t="shared" si="28"/>
        <v>#VALUE!</v>
      </c>
      <c r="M87" s="24" t="e">
        <f t="shared" si="29"/>
        <v>#VALUE!</v>
      </c>
      <c r="O87" s="34" t="e">
        <f t="shared" si="23"/>
        <v>#VALUE!</v>
      </c>
      <c r="P87" s="2" t="e">
        <f t="shared" si="24"/>
        <v>#VALUE!</v>
      </c>
      <c r="Q87" s="2" t="e">
        <f t="shared" si="30"/>
        <v>#VALUE!</v>
      </c>
      <c r="R87" s="2" t="e">
        <f t="shared" si="31"/>
        <v>#VALUE!</v>
      </c>
      <c r="S87" s="2" t="str">
        <f t="shared" si="32"/>
        <v>N</v>
      </c>
      <c r="T87" s="2" t="b">
        <f t="shared" si="20"/>
        <v>0</v>
      </c>
      <c r="U87" s="2" t="b">
        <f t="shared" si="33"/>
        <v>0</v>
      </c>
      <c r="V87" s="2" t="b">
        <f t="shared" si="21"/>
        <v>0</v>
      </c>
    </row>
    <row r="88" spans="1:24" x14ac:dyDescent="0.25">
      <c r="A88" s="34">
        <v>44295</v>
      </c>
      <c r="B88" s="4"/>
      <c r="C88" s="5" t="str">
        <f t="shared" si="36"/>
        <v/>
      </c>
      <c r="D88" s="4" t="str">
        <f t="shared" si="25"/>
        <v/>
      </c>
      <c r="E88" s="4">
        <f t="shared" si="34"/>
        <v>80</v>
      </c>
      <c r="F88" s="34" t="e">
        <f t="shared" si="35"/>
        <v>#VALUE!</v>
      </c>
      <c r="G88" s="4" t="str">
        <f t="shared" si="22"/>
        <v/>
      </c>
      <c r="H88" s="5" t="str">
        <f t="shared" si="37"/>
        <v/>
      </c>
      <c r="I88" s="4"/>
      <c r="J88" s="2" t="str">
        <f t="shared" si="26"/>
        <v/>
      </c>
      <c r="K88" s="24" t="e">
        <f t="shared" si="27"/>
        <v>#VALUE!</v>
      </c>
      <c r="L88" s="24" t="e">
        <f t="shared" si="28"/>
        <v>#VALUE!</v>
      </c>
      <c r="M88" s="24" t="e">
        <f t="shared" si="29"/>
        <v>#VALUE!</v>
      </c>
      <c r="O88" s="34" t="e">
        <f t="shared" si="23"/>
        <v>#VALUE!</v>
      </c>
      <c r="P88" s="2" t="e">
        <f t="shared" si="24"/>
        <v>#VALUE!</v>
      </c>
      <c r="Q88" s="2" t="e">
        <f t="shared" si="30"/>
        <v>#VALUE!</v>
      </c>
      <c r="R88" s="2" t="e">
        <f t="shared" si="31"/>
        <v>#VALUE!</v>
      </c>
      <c r="S88" s="2" t="str">
        <f t="shared" si="32"/>
        <v>N</v>
      </c>
      <c r="T88" s="2" t="b">
        <f t="shared" si="20"/>
        <v>0</v>
      </c>
      <c r="U88" s="2" t="b">
        <f t="shared" si="33"/>
        <v>0</v>
      </c>
      <c r="V88" s="2" t="b">
        <f t="shared" si="21"/>
        <v>0</v>
      </c>
    </row>
    <row r="89" spans="1:24" x14ac:dyDescent="0.25">
      <c r="A89" s="34">
        <v>44302</v>
      </c>
      <c r="B89" s="4"/>
      <c r="C89" s="5" t="str">
        <f t="shared" si="36"/>
        <v/>
      </c>
      <c r="D89" s="4" t="str">
        <f t="shared" si="25"/>
        <v/>
      </c>
      <c r="E89" s="4">
        <f t="shared" si="34"/>
        <v>80</v>
      </c>
      <c r="F89" s="34" t="e">
        <f t="shared" si="35"/>
        <v>#VALUE!</v>
      </c>
      <c r="G89" s="4" t="str">
        <f t="shared" si="22"/>
        <v/>
      </c>
      <c r="H89" s="5" t="str">
        <f t="shared" si="37"/>
        <v/>
      </c>
      <c r="I89" s="4"/>
      <c r="J89" s="2" t="str">
        <f t="shared" si="26"/>
        <v/>
      </c>
      <c r="K89" s="24" t="e">
        <f t="shared" si="27"/>
        <v>#VALUE!</v>
      </c>
      <c r="L89" s="24" t="e">
        <f t="shared" si="28"/>
        <v>#VALUE!</v>
      </c>
      <c r="M89" s="24" t="e">
        <f t="shared" si="29"/>
        <v>#VALUE!</v>
      </c>
      <c r="O89" s="34" t="e">
        <f t="shared" si="23"/>
        <v>#VALUE!</v>
      </c>
      <c r="P89" s="2" t="e">
        <f t="shared" si="24"/>
        <v>#VALUE!</v>
      </c>
      <c r="Q89" s="2" t="e">
        <f t="shared" si="30"/>
        <v>#VALUE!</v>
      </c>
      <c r="R89" s="2" t="e">
        <f t="shared" si="31"/>
        <v>#VALUE!</v>
      </c>
      <c r="S89" s="2" t="str">
        <f t="shared" si="32"/>
        <v>N</v>
      </c>
      <c r="T89" s="2" t="b">
        <f t="shared" si="20"/>
        <v>0</v>
      </c>
      <c r="U89" s="2" t="b">
        <f t="shared" si="33"/>
        <v>0</v>
      </c>
      <c r="V89" s="2" t="b">
        <f t="shared" si="21"/>
        <v>0</v>
      </c>
    </row>
    <row r="90" spans="1:24" x14ac:dyDescent="0.25">
      <c r="A90" s="34">
        <v>44309</v>
      </c>
      <c r="B90" s="4"/>
      <c r="C90" s="5" t="str">
        <f t="shared" si="36"/>
        <v/>
      </c>
      <c r="D90" s="4" t="str">
        <f t="shared" si="25"/>
        <v/>
      </c>
      <c r="E90" s="4">
        <f t="shared" si="34"/>
        <v>80</v>
      </c>
      <c r="F90" s="34" t="e">
        <f t="shared" si="35"/>
        <v>#VALUE!</v>
      </c>
      <c r="G90" s="4" t="str">
        <f t="shared" si="22"/>
        <v/>
      </c>
      <c r="H90" s="5" t="str">
        <f t="shared" si="37"/>
        <v/>
      </c>
      <c r="I90" s="4"/>
      <c r="J90" s="2" t="str">
        <f t="shared" si="26"/>
        <v/>
      </c>
      <c r="K90" s="24" t="e">
        <f t="shared" si="27"/>
        <v>#VALUE!</v>
      </c>
      <c r="L90" s="24" t="e">
        <f t="shared" si="28"/>
        <v>#VALUE!</v>
      </c>
      <c r="M90" s="24" t="e">
        <f t="shared" si="29"/>
        <v>#VALUE!</v>
      </c>
      <c r="O90" s="34" t="e">
        <f t="shared" si="23"/>
        <v>#VALUE!</v>
      </c>
      <c r="P90" s="2" t="e">
        <f t="shared" si="24"/>
        <v>#VALUE!</v>
      </c>
      <c r="Q90" s="2" t="e">
        <f t="shared" si="30"/>
        <v>#VALUE!</v>
      </c>
      <c r="R90" s="2" t="e">
        <f t="shared" si="31"/>
        <v>#VALUE!</v>
      </c>
      <c r="S90" s="2" t="str">
        <f t="shared" si="32"/>
        <v>N</v>
      </c>
      <c r="T90" s="2" t="b">
        <f t="shared" si="20"/>
        <v>0</v>
      </c>
      <c r="U90" s="2" t="b">
        <f t="shared" si="33"/>
        <v>0</v>
      </c>
      <c r="V90" s="2" t="b">
        <f t="shared" si="21"/>
        <v>0</v>
      </c>
    </row>
    <row r="91" spans="1:24" x14ac:dyDescent="0.25">
      <c r="A91" s="34">
        <v>44316</v>
      </c>
      <c r="B91" s="4"/>
      <c r="C91" s="5" t="str">
        <f t="shared" si="36"/>
        <v/>
      </c>
      <c r="D91" s="4" t="str">
        <f t="shared" si="25"/>
        <v/>
      </c>
      <c r="E91" s="4">
        <f t="shared" si="34"/>
        <v>80</v>
      </c>
      <c r="F91" s="34" t="e">
        <f t="shared" si="35"/>
        <v>#VALUE!</v>
      </c>
      <c r="G91" s="4" t="str">
        <f t="shared" si="22"/>
        <v/>
      </c>
      <c r="H91" s="5" t="str">
        <f t="shared" si="37"/>
        <v/>
      </c>
      <c r="I91" s="4"/>
      <c r="J91" s="2" t="str">
        <f t="shared" si="26"/>
        <v/>
      </c>
      <c r="K91" s="24" t="e">
        <f t="shared" si="27"/>
        <v>#VALUE!</v>
      </c>
      <c r="L91" s="24" t="e">
        <f t="shared" si="28"/>
        <v>#VALUE!</v>
      </c>
      <c r="M91" s="24" t="e">
        <f t="shared" si="29"/>
        <v>#VALUE!</v>
      </c>
      <c r="O91" s="34" t="e">
        <f t="shared" si="23"/>
        <v>#VALUE!</v>
      </c>
      <c r="P91" s="2" t="e">
        <f t="shared" si="24"/>
        <v>#VALUE!</v>
      </c>
      <c r="Q91" s="2" t="e">
        <f t="shared" si="30"/>
        <v>#VALUE!</v>
      </c>
      <c r="R91" s="2" t="e">
        <f t="shared" si="31"/>
        <v>#VALUE!</v>
      </c>
      <c r="S91" s="2" t="str">
        <f t="shared" si="32"/>
        <v>N</v>
      </c>
      <c r="T91" s="2" t="b">
        <f t="shared" si="20"/>
        <v>0</v>
      </c>
      <c r="U91" s="2" t="b">
        <f t="shared" si="33"/>
        <v>0</v>
      </c>
      <c r="V91" s="2" t="b">
        <f t="shared" si="21"/>
        <v>0</v>
      </c>
    </row>
    <row r="92" spans="1:24" x14ac:dyDescent="0.25">
      <c r="A92" s="34">
        <v>44323</v>
      </c>
      <c r="B92" s="4"/>
      <c r="C92" s="5" t="str">
        <f t="shared" si="36"/>
        <v/>
      </c>
      <c r="D92" s="4" t="str">
        <f t="shared" si="25"/>
        <v/>
      </c>
      <c r="E92" s="4">
        <f t="shared" si="34"/>
        <v>80</v>
      </c>
      <c r="F92" s="34" t="e">
        <f t="shared" si="35"/>
        <v>#VALUE!</v>
      </c>
      <c r="G92" s="4" t="str">
        <f t="shared" si="22"/>
        <v/>
      </c>
      <c r="H92" s="5" t="str">
        <f t="shared" si="37"/>
        <v/>
      </c>
      <c r="I92" s="4"/>
      <c r="J92" s="2" t="str">
        <f t="shared" si="26"/>
        <v/>
      </c>
      <c r="K92" s="24" t="e">
        <f t="shared" si="27"/>
        <v>#VALUE!</v>
      </c>
      <c r="L92" s="24" t="e">
        <f t="shared" si="28"/>
        <v>#VALUE!</v>
      </c>
      <c r="M92" s="24" t="e">
        <f t="shared" si="29"/>
        <v>#VALUE!</v>
      </c>
      <c r="O92" s="34" t="e">
        <f t="shared" si="23"/>
        <v>#VALUE!</v>
      </c>
      <c r="P92" s="2" t="e">
        <f t="shared" si="24"/>
        <v>#VALUE!</v>
      </c>
      <c r="Q92" s="2" t="e">
        <f t="shared" si="30"/>
        <v>#VALUE!</v>
      </c>
      <c r="R92" s="2" t="e">
        <f t="shared" si="31"/>
        <v>#VALUE!</v>
      </c>
      <c r="S92" s="2" t="str">
        <f t="shared" si="32"/>
        <v>N</v>
      </c>
      <c r="T92" s="2" t="b">
        <f t="shared" si="20"/>
        <v>0</v>
      </c>
      <c r="U92" s="2" t="b">
        <f t="shared" si="33"/>
        <v>0</v>
      </c>
      <c r="V92" s="2" t="b">
        <f t="shared" si="21"/>
        <v>0</v>
      </c>
      <c r="X92" s="2">
        <v>1</v>
      </c>
    </row>
    <row r="93" spans="1:24" x14ac:dyDescent="0.25">
      <c r="A93" s="34">
        <v>44330</v>
      </c>
      <c r="B93" s="4"/>
      <c r="C93" s="5" t="str">
        <f t="shared" si="36"/>
        <v/>
      </c>
      <c r="D93" s="4" t="str">
        <f t="shared" si="25"/>
        <v/>
      </c>
      <c r="E93" s="4">
        <f t="shared" si="34"/>
        <v>80</v>
      </c>
      <c r="F93" s="34" t="e">
        <f t="shared" si="35"/>
        <v>#VALUE!</v>
      </c>
      <c r="G93" s="4" t="str">
        <f t="shared" si="22"/>
        <v/>
      </c>
      <c r="H93" s="5" t="str">
        <f t="shared" si="37"/>
        <v/>
      </c>
      <c r="I93" s="4"/>
      <c r="J93" s="2" t="str">
        <f t="shared" si="26"/>
        <v/>
      </c>
      <c r="K93" s="24" t="e">
        <f t="shared" si="27"/>
        <v>#VALUE!</v>
      </c>
      <c r="L93" s="24" t="e">
        <f t="shared" si="28"/>
        <v>#VALUE!</v>
      </c>
      <c r="M93" s="24" t="e">
        <f t="shared" si="29"/>
        <v>#VALUE!</v>
      </c>
      <c r="O93" s="34" t="e">
        <f t="shared" si="23"/>
        <v>#VALUE!</v>
      </c>
      <c r="P93" s="2" t="e">
        <f t="shared" si="24"/>
        <v>#VALUE!</v>
      </c>
      <c r="Q93" s="2" t="e">
        <f t="shared" si="30"/>
        <v>#VALUE!</v>
      </c>
      <c r="R93" s="2" t="e">
        <f t="shared" si="31"/>
        <v>#VALUE!</v>
      </c>
      <c r="S93" s="2" t="str">
        <f t="shared" si="32"/>
        <v>N</v>
      </c>
      <c r="T93" s="2" t="b">
        <f t="shared" si="20"/>
        <v>0</v>
      </c>
      <c r="U93" s="2" t="b">
        <f t="shared" si="33"/>
        <v>0</v>
      </c>
      <c r="V93" s="2" t="b">
        <f t="shared" si="21"/>
        <v>0</v>
      </c>
      <c r="X93" s="2">
        <v>2</v>
      </c>
    </row>
    <row r="94" spans="1:24" x14ac:dyDescent="0.25">
      <c r="A94" s="34">
        <v>44337</v>
      </c>
      <c r="B94" s="4"/>
      <c r="C94" s="5" t="str">
        <f t="shared" si="36"/>
        <v/>
      </c>
      <c r="D94" s="4" t="str">
        <f t="shared" si="25"/>
        <v/>
      </c>
      <c r="E94" s="4">
        <f t="shared" si="34"/>
        <v>80</v>
      </c>
      <c r="F94" s="34" t="e">
        <f t="shared" si="35"/>
        <v>#VALUE!</v>
      </c>
      <c r="G94" s="4" t="str">
        <f t="shared" si="22"/>
        <v/>
      </c>
      <c r="H94" s="5" t="str">
        <f t="shared" si="37"/>
        <v/>
      </c>
      <c r="I94" s="4"/>
      <c r="J94" s="2" t="str">
        <f t="shared" si="26"/>
        <v/>
      </c>
      <c r="K94" s="24" t="e">
        <f t="shared" si="27"/>
        <v>#VALUE!</v>
      </c>
      <c r="L94" s="24" t="e">
        <f t="shared" si="28"/>
        <v>#VALUE!</v>
      </c>
      <c r="M94" s="24" t="e">
        <f t="shared" si="29"/>
        <v>#VALUE!</v>
      </c>
      <c r="O94" s="34" t="e">
        <f t="shared" si="23"/>
        <v>#VALUE!</v>
      </c>
      <c r="P94" s="2" t="e">
        <f t="shared" si="24"/>
        <v>#VALUE!</v>
      </c>
      <c r="Q94" s="2" t="e">
        <f t="shared" si="30"/>
        <v>#VALUE!</v>
      </c>
      <c r="R94" s="2" t="e">
        <f t="shared" si="31"/>
        <v>#VALUE!</v>
      </c>
      <c r="S94" s="2" t="str">
        <f t="shared" si="32"/>
        <v>N</v>
      </c>
      <c r="T94" s="2" t="b">
        <f t="shared" ref="T94:T115" si="38">ISBLANK(O94)</f>
        <v>0</v>
      </c>
      <c r="U94" s="2" t="b">
        <f t="shared" si="33"/>
        <v>0</v>
      </c>
      <c r="V94" s="2" t="b">
        <f t="shared" si="21"/>
        <v>0</v>
      </c>
      <c r="X94" s="2">
        <v>3</v>
      </c>
    </row>
    <row r="95" spans="1:24" x14ac:dyDescent="0.25">
      <c r="A95" s="34">
        <v>44344</v>
      </c>
      <c r="B95" s="4"/>
      <c r="C95" s="5" t="str">
        <f t="shared" si="36"/>
        <v/>
      </c>
      <c r="D95" s="4" t="str">
        <f t="shared" si="25"/>
        <v/>
      </c>
      <c r="E95" s="4">
        <f t="shared" si="34"/>
        <v>80</v>
      </c>
      <c r="F95" s="34" t="e">
        <f t="shared" si="35"/>
        <v>#VALUE!</v>
      </c>
      <c r="G95" s="4" t="str">
        <f t="shared" si="22"/>
        <v/>
      </c>
      <c r="H95" s="5" t="str">
        <f t="shared" si="37"/>
        <v/>
      </c>
      <c r="I95" s="4"/>
      <c r="J95" s="2" t="str">
        <f t="shared" si="26"/>
        <v/>
      </c>
      <c r="K95" s="24" t="e">
        <f t="shared" si="27"/>
        <v>#VALUE!</v>
      </c>
      <c r="L95" s="24" t="e">
        <f t="shared" si="28"/>
        <v>#VALUE!</v>
      </c>
      <c r="M95" s="24" t="e">
        <f t="shared" si="29"/>
        <v>#VALUE!</v>
      </c>
      <c r="O95" s="34" t="e">
        <f t="shared" si="23"/>
        <v>#VALUE!</v>
      </c>
      <c r="P95" s="2" t="e">
        <f t="shared" si="24"/>
        <v>#VALUE!</v>
      </c>
      <c r="Q95" s="2" t="e">
        <f t="shared" si="30"/>
        <v>#VALUE!</v>
      </c>
      <c r="R95" s="2" t="e">
        <f t="shared" si="31"/>
        <v>#VALUE!</v>
      </c>
      <c r="S95" s="2" t="str">
        <f t="shared" si="32"/>
        <v>N</v>
      </c>
      <c r="T95" s="2" t="b">
        <f t="shared" si="38"/>
        <v>0</v>
      </c>
      <c r="U95" s="2" t="b">
        <f t="shared" si="33"/>
        <v>0</v>
      </c>
      <c r="V95" s="2" t="b">
        <f t="shared" si="21"/>
        <v>0</v>
      </c>
      <c r="X95" s="2">
        <v>4</v>
      </c>
    </row>
    <row r="96" spans="1:24" x14ac:dyDescent="0.25">
      <c r="A96" s="34">
        <v>44351</v>
      </c>
      <c r="B96" s="4"/>
      <c r="C96" s="5" t="str">
        <f t="shared" si="36"/>
        <v/>
      </c>
      <c r="D96" s="4" t="str">
        <f t="shared" si="25"/>
        <v/>
      </c>
      <c r="E96" s="4">
        <f t="shared" si="34"/>
        <v>80</v>
      </c>
      <c r="F96" s="34" t="e">
        <f t="shared" si="35"/>
        <v>#VALUE!</v>
      </c>
      <c r="G96" s="4" t="str">
        <f t="shared" si="22"/>
        <v/>
      </c>
      <c r="H96" s="5" t="str">
        <f t="shared" si="37"/>
        <v/>
      </c>
      <c r="I96" s="4"/>
      <c r="J96" s="2" t="str">
        <f t="shared" si="26"/>
        <v/>
      </c>
      <c r="K96" s="24" t="e">
        <f t="shared" si="27"/>
        <v>#VALUE!</v>
      </c>
      <c r="L96" s="24" t="e">
        <f t="shared" si="28"/>
        <v>#VALUE!</v>
      </c>
      <c r="M96" s="24" t="e">
        <f t="shared" si="29"/>
        <v>#VALUE!</v>
      </c>
      <c r="O96" s="34" t="e">
        <f t="shared" si="23"/>
        <v>#VALUE!</v>
      </c>
      <c r="P96" s="2" t="e">
        <f t="shared" si="24"/>
        <v>#VALUE!</v>
      </c>
      <c r="Q96" s="2" t="e">
        <f t="shared" si="30"/>
        <v>#VALUE!</v>
      </c>
      <c r="R96" s="2" t="e">
        <f t="shared" si="31"/>
        <v>#VALUE!</v>
      </c>
      <c r="S96" s="2" t="str">
        <f t="shared" si="32"/>
        <v>N</v>
      </c>
      <c r="T96" s="2" t="b">
        <f t="shared" si="38"/>
        <v>0</v>
      </c>
      <c r="U96" s="2" t="b">
        <f t="shared" si="33"/>
        <v>0</v>
      </c>
      <c r="V96" s="2" t="b">
        <f t="shared" ref="V96:V115" si="39">ISNUMBER(O96)</f>
        <v>0</v>
      </c>
      <c r="X96" s="2">
        <v>5</v>
      </c>
    </row>
    <row r="97" spans="1:24" x14ac:dyDescent="0.25">
      <c r="A97" s="34">
        <v>44358</v>
      </c>
      <c r="B97" s="4"/>
      <c r="C97" s="5" t="str">
        <f t="shared" si="36"/>
        <v/>
      </c>
      <c r="D97" s="4" t="str">
        <f t="shared" si="25"/>
        <v/>
      </c>
      <c r="E97" s="4">
        <f t="shared" si="34"/>
        <v>80</v>
      </c>
      <c r="F97" s="34" t="e">
        <f t="shared" si="35"/>
        <v>#VALUE!</v>
      </c>
      <c r="G97" s="4" t="str">
        <f t="shared" si="22"/>
        <v/>
      </c>
      <c r="H97" s="5" t="str">
        <f t="shared" si="37"/>
        <v/>
      </c>
      <c r="I97" s="4"/>
      <c r="J97" s="2" t="str">
        <f t="shared" si="26"/>
        <v/>
      </c>
      <c r="K97" s="24" t="e">
        <f t="shared" si="27"/>
        <v>#VALUE!</v>
      </c>
      <c r="L97" s="24" t="e">
        <f t="shared" si="28"/>
        <v>#VALUE!</v>
      </c>
      <c r="M97" s="24" t="e">
        <f t="shared" si="29"/>
        <v>#VALUE!</v>
      </c>
      <c r="O97" s="34" t="e">
        <f t="shared" si="23"/>
        <v>#VALUE!</v>
      </c>
      <c r="P97" s="2" t="e">
        <f t="shared" si="24"/>
        <v>#VALUE!</v>
      </c>
      <c r="Q97" s="2" t="e">
        <f t="shared" si="30"/>
        <v>#VALUE!</v>
      </c>
      <c r="R97" s="2" t="e">
        <f t="shared" si="31"/>
        <v>#VALUE!</v>
      </c>
      <c r="S97" s="2" t="str">
        <f t="shared" si="32"/>
        <v>N</v>
      </c>
      <c r="T97" s="2" t="b">
        <f t="shared" si="38"/>
        <v>0</v>
      </c>
      <c r="U97" s="2" t="b">
        <f t="shared" si="33"/>
        <v>0</v>
      </c>
      <c r="V97" s="2" t="b">
        <f t="shared" si="39"/>
        <v>0</v>
      </c>
      <c r="X97" s="2">
        <v>6</v>
      </c>
    </row>
    <row r="98" spans="1:24" x14ac:dyDescent="0.25">
      <c r="A98" s="34">
        <v>44365</v>
      </c>
      <c r="B98" s="4"/>
      <c r="C98" s="5" t="str">
        <f t="shared" si="36"/>
        <v/>
      </c>
      <c r="D98" s="4" t="str">
        <f t="shared" si="25"/>
        <v/>
      </c>
      <c r="E98" s="4">
        <f t="shared" si="34"/>
        <v>80</v>
      </c>
      <c r="F98" s="34" t="e">
        <f t="shared" si="35"/>
        <v>#VALUE!</v>
      </c>
      <c r="G98" s="4" t="str">
        <f t="shared" si="22"/>
        <v/>
      </c>
      <c r="H98" s="5" t="str">
        <f t="shared" si="37"/>
        <v/>
      </c>
      <c r="I98" s="4"/>
      <c r="J98" s="2" t="str">
        <f t="shared" si="26"/>
        <v/>
      </c>
      <c r="K98" s="24" t="e">
        <f t="shared" si="27"/>
        <v>#VALUE!</v>
      </c>
      <c r="L98" s="24" t="e">
        <f t="shared" si="28"/>
        <v>#VALUE!</v>
      </c>
      <c r="M98" s="24" t="e">
        <f t="shared" si="29"/>
        <v>#VALUE!</v>
      </c>
      <c r="O98" s="34" t="e">
        <f t="shared" si="23"/>
        <v>#VALUE!</v>
      </c>
      <c r="P98" s="2" t="e">
        <f t="shared" si="24"/>
        <v>#VALUE!</v>
      </c>
      <c r="Q98" s="2" t="e">
        <f t="shared" si="30"/>
        <v>#VALUE!</v>
      </c>
      <c r="R98" s="2" t="e">
        <f t="shared" si="31"/>
        <v>#VALUE!</v>
      </c>
      <c r="S98" s="2" t="str">
        <f t="shared" si="32"/>
        <v>N</v>
      </c>
      <c r="T98" s="2" t="b">
        <f t="shared" si="38"/>
        <v>0</v>
      </c>
      <c r="U98" s="2" t="b">
        <f t="shared" si="33"/>
        <v>0</v>
      </c>
      <c r="V98" s="2" t="b">
        <f t="shared" si="39"/>
        <v>0</v>
      </c>
      <c r="X98" s="2">
        <v>7</v>
      </c>
    </row>
    <row r="99" spans="1:24" x14ac:dyDescent="0.25">
      <c r="A99" s="34">
        <v>44372</v>
      </c>
      <c r="B99" s="4"/>
      <c r="C99" s="5" t="str">
        <f t="shared" si="36"/>
        <v/>
      </c>
      <c r="D99" s="4" t="str">
        <f t="shared" si="25"/>
        <v/>
      </c>
      <c r="E99" s="4">
        <f t="shared" si="34"/>
        <v>80</v>
      </c>
      <c r="F99" s="34" t="e">
        <f t="shared" si="35"/>
        <v>#VALUE!</v>
      </c>
      <c r="G99" s="4" t="str">
        <f t="shared" si="22"/>
        <v/>
      </c>
      <c r="H99" s="5" t="str">
        <f t="shared" si="37"/>
        <v/>
      </c>
      <c r="I99" s="4"/>
      <c r="J99" s="2" t="str">
        <f t="shared" si="26"/>
        <v/>
      </c>
      <c r="K99" s="24" t="e">
        <f t="shared" si="27"/>
        <v>#VALUE!</v>
      </c>
      <c r="L99" s="24" t="e">
        <f t="shared" si="28"/>
        <v>#VALUE!</v>
      </c>
      <c r="M99" s="24" t="e">
        <f t="shared" si="29"/>
        <v>#VALUE!</v>
      </c>
      <c r="O99" s="34" t="e">
        <f t="shared" si="23"/>
        <v>#VALUE!</v>
      </c>
      <c r="P99" s="2" t="e">
        <f t="shared" si="24"/>
        <v>#VALUE!</v>
      </c>
      <c r="Q99" s="2" t="e">
        <f t="shared" si="30"/>
        <v>#VALUE!</v>
      </c>
      <c r="R99" s="2" t="e">
        <f t="shared" si="31"/>
        <v>#VALUE!</v>
      </c>
      <c r="S99" s="2" t="str">
        <f t="shared" si="32"/>
        <v>N</v>
      </c>
      <c r="T99" s="2" t="b">
        <f t="shared" si="38"/>
        <v>0</v>
      </c>
      <c r="U99" s="2" t="b">
        <f t="shared" si="33"/>
        <v>0</v>
      </c>
      <c r="V99" s="2" t="b">
        <f t="shared" si="39"/>
        <v>0</v>
      </c>
      <c r="X99" s="2">
        <v>8</v>
      </c>
    </row>
    <row r="100" spans="1:24" x14ac:dyDescent="0.25">
      <c r="A100" s="34">
        <v>44379</v>
      </c>
      <c r="B100" s="4"/>
      <c r="C100" s="5" t="str">
        <f t="shared" si="36"/>
        <v/>
      </c>
      <c r="D100" s="4" t="str">
        <f t="shared" si="25"/>
        <v/>
      </c>
      <c r="E100" s="4">
        <f t="shared" si="34"/>
        <v>80</v>
      </c>
      <c r="F100" s="34" t="e">
        <f t="shared" si="35"/>
        <v>#VALUE!</v>
      </c>
      <c r="G100" s="4" t="str">
        <f t="shared" si="22"/>
        <v/>
      </c>
      <c r="H100" s="5" t="str">
        <f t="shared" si="37"/>
        <v/>
      </c>
      <c r="I100" s="4"/>
      <c r="J100" s="2" t="str">
        <f t="shared" si="26"/>
        <v/>
      </c>
      <c r="K100" s="24" t="e">
        <f t="shared" si="27"/>
        <v>#VALUE!</v>
      </c>
      <c r="L100" s="24" t="e">
        <f t="shared" si="28"/>
        <v>#VALUE!</v>
      </c>
      <c r="M100" s="24" t="e">
        <f t="shared" si="29"/>
        <v>#VALUE!</v>
      </c>
      <c r="O100" s="34" t="e">
        <f t="shared" si="23"/>
        <v>#VALUE!</v>
      </c>
      <c r="P100" s="2" t="e">
        <f t="shared" si="24"/>
        <v>#VALUE!</v>
      </c>
      <c r="Q100" s="2" t="e">
        <f t="shared" si="30"/>
        <v>#VALUE!</v>
      </c>
      <c r="R100" s="2" t="e">
        <f t="shared" si="31"/>
        <v>#VALUE!</v>
      </c>
      <c r="S100" s="2" t="str">
        <f t="shared" si="32"/>
        <v>N</v>
      </c>
      <c r="T100" s="2" t="b">
        <f t="shared" si="38"/>
        <v>0</v>
      </c>
      <c r="U100" s="2" t="b">
        <f t="shared" si="33"/>
        <v>0</v>
      </c>
      <c r="V100" s="2" t="b">
        <f t="shared" si="39"/>
        <v>0</v>
      </c>
      <c r="X100" s="2">
        <v>9</v>
      </c>
    </row>
    <row r="101" spans="1:24" x14ac:dyDescent="0.25">
      <c r="A101" s="34">
        <v>44386</v>
      </c>
      <c r="B101" s="4"/>
      <c r="C101" s="5" t="str">
        <f t="shared" si="36"/>
        <v/>
      </c>
      <c r="D101" s="4" t="str">
        <f t="shared" si="25"/>
        <v/>
      </c>
      <c r="E101" s="4">
        <f t="shared" si="34"/>
        <v>80</v>
      </c>
      <c r="F101" s="34" t="e">
        <f t="shared" si="35"/>
        <v>#VALUE!</v>
      </c>
      <c r="G101" s="4" t="str">
        <f t="shared" si="22"/>
        <v/>
      </c>
      <c r="H101" s="5" t="str">
        <f t="shared" si="37"/>
        <v/>
      </c>
      <c r="I101" s="4"/>
      <c r="J101" s="2" t="str">
        <f t="shared" si="26"/>
        <v/>
      </c>
      <c r="K101" s="24" t="e">
        <f t="shared" si="27"/>
        <v>#VALUE!</v>
      </c>
      <c r="L101" s="24" t="e">
        <f t="shared" si="28"/>
        <v>#VALUE!</v>
      </c>
      <c r="M101" s="24" t="e">
        <f t="shared" si="29"/>
        <v>#VALUE!</v>
      </c>
      <c r="O101" s="34" t="e">
        <f t="shared" si="23"/>
        <v>#VALUE!</v>
      </c>
      <c r="P101" s="2" t="e">
        <f t="shared" si="24"/>
        <v>#VALUE!</v>
      </c>
      <c r="Q101" s="2" t="e">
        <f t="shared" si="30"/>
        <v>#VALUE!</v>
      </c>
      <c r="R101" s="2" t="e">
        <f t="shared" si="31"/>
        <v>#VALUE!</v>
      </c>
      <c r="S101" s="2" t="str">
        <f t="shared" si="32"/>
        <v>N</v>
      </c>
      <c r="T101" s="2" t="b">
        <f t="shared" si="38"/>
        <v>0</v>
      </c>
      <c r="U101" s="2" t="b">
        <f t="shared" si="33"/>
        <v>0</v>
      </c>
      <c r="V101" s="2" t="b">
        <f t="shared" si="39"/>
        <v>0</v>
      </c>
      <c r="X101" s="2">
        <v>10</v>
      </c>
    </row>
    <row r="102" spans="1:24" x14ac:dyDescent="0.25">
      <c r="A102" s="34">
        <v>44393</v>
      </c>
      <c r="B102" s="4"/>
      <c r="C102" s="5" t="str">
        <f t="shared" si="36"/>
        <v/>
      </c>
      <c r="D102" s="4" t="str">
        <f t="shared" si="25"/>
        <v/>
      </c>
      <c r="E102" s="4">
        <f t="shared" si="34"/>
        <v>80</v>
      </c>
      <c r="F102" s="34" t="e">
        <f t="shared" si="35"/>
        <v>#VALUE!</v>
      </c>
      <c r="G102" s="4" t="str">
        <f t="shared" si="22"/>
        <v/>
      </c>
      <c r="H102" s="5" t="str">
        <f t="shared" si="37"/>
        <v/>
      </c>
      <c r="I102" s="4"/>
      <c r="J102" s="2" t="str">
        <f t="shared" si="26"/>
        <v/>
      </c>
      <c r="K102" s="24" t="e">
        <f t="shared" si="27"/>
        <v>#VALUE!</v>
      </c>
      <c r="L102" s="24" t="e">
        <f t="shared" si="28"/>
        <v>#VALUE!</v>
      </c>
      <c r="M102" s="24" t="e">
        <f t="shared" si="29"/>
        <v>#VALUE!</v>
      </c>
      <c r="O102" s="34" t="e">
        <f t="shared" si="23"/>
        <v>#VALUE!</v>
      </c>
      <c r="P102" s="2" t="e">
        <f t="shared" si="24"/>
        <v>#VALUE!</v>
      </c>
      <c r="Q102" s="2" t="e">
        <f t="shared" si="30"/>
        <v>#VALUE!</v>
      </c>
      <c r="R102" s="2" t="e">
        <f t="shared" si="31"/>
        <v>#VALUE!</v>
      </c>
      <c r="S102" s="2" t="str">
        <f t="shared" si="32"/>
        <v>N</v>
      </c>
      <c r="T102" s="2" t="b">
        <f t="shared" si="38"/>
        <v>0</v>
      </c>
      <c r="U102" s="2" t="b">
        <f t="shared" si="33"/>
        <v>0</v>
      </c>
      <c r="V102" s="2" t="b">
        <f t="shared" si="39"/>
        <v>0</v>
      </c>
      <c r="X102" s="2">
        <v>20</v>
      </c>
    </row>
    <row r="103" spans="1:24" x14ac:dyDescent="0.25">
      <c r="A103" s="34">
        <v>44400</v>
      </c>
      <c r="B103" s="4"/>
      <c r="C103" s="5" t="str">
        <f t="shared" si="36"/>
        <v/>
      </c>
      <c r="D103" s="4" t="str">
        <f t="shared" si="25"/>
        <v/>
      </c>
      <c r="E103" s="4">
        <f t="shared" si="34"/>
        <v>80</v>
      </c>
      <c r="F103" s="34" t="e">
        <f t="shared" si="35"/>
        <v>#VALUE!</v>
      </c>
      <c r="G103" s="4" t="str">
        <f t="shared" si="22"/>
        <v/>
      </c>
      <c r="H103" s="5" t="str">
        <f t="shared" si="37"/>
        <v/>
      </c>
      <c r="I103" s="4"/>
      <c r="J103" s="2" t="str">
        <f t="shared" si="26"/>
        <v/>
      </c>
      <c r="K103" s="24" t="e">
        <f t="shared" si="27"/>
        <v>#VALUE!</v>
      </c>
      <c r="L103" s="24" t="e">
        <f t="shared" si="28"/>
        <v>#VALUE!</v>
      </c>
      <c r="M103" s="24" t="e">
        <f t="shared" si="29"/>
        <v>#VALUE!</v>
      </c>
      <c r="O103" s="34" t="e">
        <f t="shared" si="23"/>
        <v>#VALUE!</v>
      </c>
      <c r="P103" s="2" t="e">
        <f t="shared" si="24"/>
        <v>#VALUE!</v>
      </c>
      <c r="Q103" s="2" t="e">
        <f t="shared" si="30"/>
        <v>#VALUE!</v>
      </c>
      <c r="R103" s="2" t="e">
        <f t="shared" si="31"/>
        <v>#VALUE!</v>
      </c>
      <c r="S103" s="2" t="str">
        <f t="shared" si="32"/>
        <v>N</v>
      </c>
      <c r="T103" s="2" t="b">
        <f t="shared" si="38"/>
        <v>0</v>
      </c>
      <c r="U103" s="2" t="b">
        <f t="shared" si="33"/>
        <v>0</v>
      </c>
      <c r="V103" s="2" t="b">
        <f t="shared" si="39"/>
        <v>0</v>
      </c>
      <c r="X103" s="2">
        <v>30</v>
      </c>
    </row>
    <row r="104" spans="1:24" x14ac:dyDescent="0.25">
      <c r="A104" s="34">
        <v>44407</v>
      </c>
      <c r="B104" s="4"/>
      <c r="C104" s="5" t="str">
        <f t="shared" si="36"/>
        <v/>
      </c>
      <c r="D104" s="4" t="str">
        <f t="shared" si="25"/>
        <v/>
      </c>
      <c r="E104" s="4">
        <f t="shared" si="34"/>
        <v>80</v>
      </c>
      <c r="F104" s="34" t="e">
        <f t="shared" si="35"/>
        <v>#VALUE!</v>
      </c>
      <c r="G104" s="4" t="str">
        <f t="shared" si="22"/>
        <v/>
      </c>
      <c r="H104" s="5" t="str">
        <f t="shared" si="37"/>
        <v/>
      </c>
      <c r="I104" s="4"/>
      <c r="J104" s="2" t="str">
        <f t="shared" si="26"/>
        <v/>
      </c>
      <c r="K104" s="24" t="e">
        <f t="shared" si="27"/>
        <v>#VALUE!</v>
      </c>
      <c r="L104" s="24" t="e">
        <f t="shared" si="28"/>
        <v>#VALUE!</v>
      </c>
      <c r="M104" s="24" t="e">
        <f t="shared" si="29"/>
        <v>#VALUE!</v>
      </c>
      <c r="O104" s="34" t="e">
        <f t="shared" si="23"/>
        <v>#VALUE!</v>
      </c>
      <c r="P104" s="2" t="e">
        <f t="shared" si="24"/>
        <v>#VALUE!</v>
      </c>
      <c r="Q104" s="2" t="e">
        <f t="shared" si="30"/>
        <v>#VALUE!</v>
      </c>
      <c r="R104" s="2" t="e">
        <f t="shared" si="31"/>
        <v>#VALUE!</v>
      </c>
      <c r="S104" s="2" t="str">
        <f t="shared" si="32"/>
        <v>N</v>
      </c>
      <c r="T104" s="2" t="b">
        <f t="shared" si="38"/>
        <v>0</v>
      </c>
      <c r="U104" s="2" t="b">
        <f t="shared" si="33"/>
        <v>0</v>
      </c>
      <c r="V104" s="2" t="b">
        <f t="shared" si="39"/>
        <v>0</v>
      </c>
      <c r="X104" s="2">
        <v>45</v>
      </c>
    </row>
    <row r="105" spans="1:24" x14ac:dyDescent="0.25">
      <c r="A105" s="34">
        <v>44414</v>
      </c>
      <c r="B105" s="4"/>
      <c r="C105" s="5" t="str">
        <f t="shared" si="36"/>
        <v/>
      </c>
      <c r="D105" s="4" t="str">
        <f t="shared" si="25"/>
        <v/>
      </c>
      <c r="E105" s="4">
        <f t="shared" si="34"/>
        <v>80</v>
      </c>
      <c r="F105" s="34" t="e">
        <f t="shared" si="35"/>
        <v>#VALUE!</v>
      </c>
      <c r="G105" s="4" t="str">
        <f t="shared" si="22"/>
        <v/>
      </c>
      <c r="H105" s="5" t="str">
        <f t="shared" si="37"/>
        <v/>
      </c>
      <c r="I105" s="4"/>
      <c r="J105" s="2" t="str">
        <f t="shared" si="26"/>
        <v/>
      </c>
      <c r="K105" s="24" t="e">
        <f t="shared" si="27"/>
        <v>#VALUE!</v>
      </c>
      <c r="L105" s="24" t="e">
        <f t="shared" si="28"/>
        <v>#VALUE!</v>
      </c>
      <c r="M105" s="24" t="e">
        <f t="shared" si="29"/>
        <v>#VALUE!</v>
      </c>
      <c r="O105" s="34" t="e">
        <f t="shared" si="23"/>
        <v>#VALUE!</v>
      </c>
      <c r="P105" s="2" t="e">
        <f t="shared" si="24"/>
        <v>#VALUE!</v>
      </c>
      <c r="Q105" s="2" t="e">
        <f t="shared" si="30"/>
        <v>#VALUE!</v>
      </c>
      <c r="R105" s="2" t="e">
        <f t="shared" si="31"/>
        <v>#VALUE!</v>
      </c>
      <c r="S105" s="2" t="str">
        <f t="shared" si="32"/>
        <v>N</v>
      </c>
      <c r="T105" s="2" t="b">
        <f t="shared" si="38"/>
        <v>0</v>
      </c>
      <c r="U105" s="2" t="b">
        <f t="shared" si="33"/>
        <v>0</v>
      </c>
      <c r="V105" s="2" t="b">
        <f t="shared" si="39"/>
        <v>0</v>
      </c>
      <c r="X105" s="2">
        <v>60</v>
      </c>
    </row>
    <row r="106" spans="1:24" x14ac:dyDescent="0.25">
      <c r="A106" s="34">
        <v>44421</v>
      </c>
      <c r="B106" s="4"/>
      <c r="C106" s="5" t="str">
        <f t="shared" si="36"/>
        <v/>
      </c>
      <c r="D106" s="4" t="str">
        <f t="shared" si="25"/>
        <v/>
      </c>
      <c r="E106" s="4">
        <f t="shared" si="34"/>
        <v>80</v>
      </c>
      <c r="F106" s="34" t="e">
        <f t="shared" si="35"/>
        <v>#VALUE!</v>
      </c>
      <c r="G106" s="4" t="str">
        <f t="shared" si="22"/>
        <v/>
      </c>
      <c r="H106" s="5" t="str">
        <f t="shared" si="37"/>
        <v/>
      </c>
      <c r="I106" s="4"/>
      <c r="J106" s="2" t="str">
        <f t="shared" si="26"/>
        <v/>
      </c>
      <c r="K106" s="24" t="e">
        <f t="shared" si="27"/>
        <v>#VALUE!</v>
      </c>
      <c r="L106" s="24" t="e">
        <f t="shared" si="28"/>
        <v>#VALUE!</v>
      </c>
      <c r="M106" s="24" t="e">
        <f t="shared" si="29"/>
        <v>#VALUE!</v>
      </c>
      <c r="O106" s="34" t="e">
        <f t="shared" si="23"/>
        <v>#VALUE!</v>
      </c>
      <c r="P106" s="2" t="e">
        <f t="shared" si="24"/>
        <v>#VALUE!</v>
      </c>
      <c r="Q106" s="2" t="e">
        <f t="shared" si="30"/>
        <v>#VALUE!</v>
      </c>
      <c r="R106" s="2" t="e">
        <f t="shared" si="31"/>
        <v>#VALUE!</v>
      </c>
      <c r="S106" s="2" t="str">
        <f t="shared" si="32"/>
        <v>N</v>
      </c>
      <c r="T106" s="2" t="b">
        <f t="shared" si="38"/>
        <v>0</v>
      </c>
      <c r="U106" s="2" t="b">
        <f t="shared" si="33"/>
        <v>0</v>
      </c>
      <c r="V106" s="2" t="b">
        <f t="shared" si="39"/>
        <v>0</v>
      </c>
      <c r="X106" s="2">
        <v>120</v>
      </c>
    </row>
    <row r="107" spans="1:24" x14ac:dyDescent="0.25">
      <c r="A107" s="34">
        <v>44428</v>
      </c>
      <c r="B107" s="4"/>
      <c r="C107" s="5" t="str">
        <f t="shared" si="36"/>
        <v/>
      </c>
      <c r="D107" s="4" t="str">
        <f t="shared" si="25"/>
        <v/>
      </c>
      <c r="E107" s="4">
        <f t="shared" si="34"/>
        <v>80</v>
      </c>
      <c r="F107" s="34" t="e">
        <f t="shared" si="35"/>
        <v>#VALUE!</v>
      </c>
      <c r="G107" s="4" t="str">
        <f t="shared" si="22"/>
        <v/>
      </c>
      <c r="H107" s="5" t="str">
        <f t="shared" si="37"/>
        <v/>
      </c>
      <c r="I107" s="4"/>
      <c r="J107" s="2" t="str">
        <f t="shared" si="26"/>
        <v/>
      </c>
      <c r="K107" s="24" t="e">
        <f t="shared" si="27"/>
        <v>#VALUE!</v>
      </c>
      <c r="L107" s="24" t="e">
        <f t="shared" si="28"/>
        <v>#VALUE!</v>
      </c>
      <c r="M107" s="24" t="e">
        <f t="shared" si="29"/>
        <v>#VALUE!</v>
      </c>
      <c r="O107" s="34" t="e">
        <f t="shared" si="23"/>
        <v>#VALUE!</v>
      </c>
      <c r="P107" s="2" t="e">
        <f t="shared" si="24"/>
        <v>#VALUE!</v>
      </c>
      <c r="Q107" s="2" t="e">
        <f t="shared" si="30"/>
        <v>#VALUE!</v>
      </c>
      <c r="R107" s="2" t="e">
        <f t="shared" si="31"/>
        <v>#VALUE!</v>
      </c>
      <c r="S107" s="2" t="str">
        <f t="shared" si="32"/>
        <v>N</v>
      </c>
      <c r="T107" s="2" t="b">
        <f t="shared" si="38"/>
        <v>0</v>
      </c>
      <c r="U107" s="2" t="b">
        <f t="shared" si="33"/>
        <v>0</v>
      </c>
      <c r="V107" s="2" t="b">
        <f t="shared" si="39"/>
        <v>0</v>
      </c>
    </row>
    <row r="108" spans="1:24" x14ac:dyDescent="0.25">
      <c r="A108" s="34">
        <v>44435</v>
      </c>
      <c r="B108" s="4"/>
      <c r="C108" s="5" t="str">
        <f t="shared" si="36"/>
        <v/>
      </c>
      <c r="D108" s="4" t="str">
        <f t="shared" si="25"/>
        <v/>
      </c>
      <c r="E108" s="4">
        <f t="shared" si="34"/>
        <v>80</v>
      </c>
      <c r="F108" s="34" t="e">
        <f t="shared" si="35"/>
        <v>#VALUE!</v>
      </c>
      <c r="G108" s="4" t="str">
        <f t="shared" si="22"/>
        <v/>
      </c>
      <c r="H108" s="5" t="str">
        <f t="shared" si="37"/>
        <v/>
      </c>
      <c r="I108" s="4"/>
      <c r="J108" s="2" t="str">
        <f t="shared" si="26"/>
        <v/>
      </c>
      <c r="K108" s="24" t="e">
        <f t="shared" si="27"/>
        <v>#VALUE!</v>
      </c>
      <c r="L108" s="24" t="e">
        <f t="shared" si="28"/>
        <v>#VALUE!</v>
      </c>
      <c r="M108" s="24" t="e">
        <f t="shared" si="29"/>
        <v>#VALUE!</v>
      </c>
      <c r="O108" s="34" t="e">
        <f t="shared" si="23"/>
        <v>#VALUE!</v>
      </c>
      <c r="P108" s="2" t="e">
        <f t="shared" si="24"/>
        <v>#VALUE!</v>
      </c>
      <c r="Q108" s="2" t="e">
        <f t="shared" si="30"/>
        <v>#VALUE!</v>
      </c>
      <c r="R108" s="2" t="e">
        <f t="shared" si="31"/>
        <v>#VALUE!</v>
      </c>
      <c r="S108" s="2" t="str">
        <f t="shared" si="32"/>
        <v>N</v>
      </c>
      <c r="T108" s="2" t="b">
        <f t="shared" si="38"/>
        <v>0</v>
      </c>
      <c r="U108" s="2" t="b">
        <f t="shared" si="33"/>
        <v>0</v>
      </c>
      <c r="V108" s="2" t="b">
        <f t="shared" si="39"/>
        <v>0</v>
      </c>
    </row>
    <row r="109" spans="1:24" x14ac:dyDescent="0.25">
      <c r="A109" s="34">
        <v>44442</v>
      </c>
      <c r="B109" s="4"/>
      <c r="C109" s="5" t="str">
        <f t="shared" si="36"/>
        <v/>
      </c>
      <c r="D109" s="4" t="str">
        <f t="shared" si="25"/>
        <v/>
      </c>
      <c r="E109" s="4">
        <f t="shared" si="34"/>
        <v>80</v>
      </c>
      <c r="F109" s="34" t="e">
        <f t="shared" si="35"/>
        <v>#VALUE!</v>
      </c>
      <c r="G109" s="4" t="str">
        <f t="shared" si="22"/>
        <v/>
      </c>
      <c r="H109" s="5" t="str">
        <f t="shared" si="37"/>
        <v/>
      </c>
      <c r="I109" s="4"/>
      <c r="J109" s="2" t="str">
        <f t="shared" si="26"/>
        <v/>
      </c>
      <c r="K109" s="24" t="e">
        <f t="shared" si="27"/>
        <v>#VALUE!</v>
      </c>
      <c r="L109" s="24" t="e">
        <f t="shared" si="28"/>
        <v>#VALUE!</v>
      </c>
      <c r="M109" s="24" t="e">
        <f t="shared" si="29"/>
        <v>#VALUE!</v>
      </c>
      <c r="O109" s="34" t="e">
        <f t="shared" si="23"/>
        <v>#VALUE!</v>
      </c>
      <c r="P109" s="2" t="e">
        <f t="shared" si="24"/>
        <v>#VALUE!</v>
      </c>
      <c r="Q109" s="2" t="e">
        <f t="shared" si="30"/>
        <v>#VALUE!</v>
      </c>
      <c r="R109" s="2" t="e">
        <f t="shared" si="31"/>
        <v>#VALUE!</v>
      </c>
      <c r="S109" s="2" t="str">
        <f t="shared" si="32"/>
        <v>N</v>
      </c>
      <c r="T109" s="2" t="b">
        <f t="shared" si="38"/>
        <v>0</v>
      </c>
      <c r="U109" s="2" t="b">
        <f t="shared" si="33"/>
        <v>0</v>
      </c>
      <c r="V109" s="2" t="b">
        <f t="shared" si="39"/>
        <v>0</v>
      </c>
    </row>
    <row r="110" spans="1:24" x14ac:dyDescent="0.25">
      <c r="A110" s="34">
        <v>44449</v>
      </c>
      <c r="B110" s="4"/>
      <c r="C110" s="5" t="str">
        <f t="shared" si="36"/>
        <v/>
      </c>
      <c r="D110" s="4" t="str">
        <f t="shared" si="25"/>
        <v/>
      </c>
      <c r="E110" s="4">
        <f t="shared" si="34"/>
        <v>80</v>
      </c>
      <c r="F110" s="34" t="e">
        <f t="shared" si="35"/>
        <v>#VALUE!</v>
      </c>
      <c r="G110" s="4" t="str">
        <f t="shared" si="22"/>
        <v/>
      </c>
      <c r="H110" s="5" t="str">
        <f t="shared" si="37"/>
        <v/>
      </c>
      <c r="I110" s="4"/>
      <c r="J110" s="2" t="str">
        <f t="shared" si="26"/>
        <v/>
      </c>
      <c r="K110" s="24" t="e">
        <f t="shared" si="27"/>
        <v>#VALUE!</v>
      </c>
      <c r="L110" s="24" t="e">
        <f t="shared" si="28"/>
        <v>#VALUE!</v>
      </c>
      <c r="M110" s="24" t="e">
        <f t="shared" si="29"/>
        <v>#VALUE!</v>
      </c>
      <c r="O110" s="34" t="e">
        <f t="shared" si="23"/>
        <v>#VALUE!</v>
      </c>
      <c r="P110" s="2" t="e">
        <f t="shared" si="24"/>
        <v>#VALUE!</v>
      </c>
      <c r="Q110" s="2" t="e">
        <f t="shared" si="30"/>
        <v>#VALUE!</v>
      </c>
      <c r="R110" s="2" t="e">
        <f t="shared" si="31"/>
        <v>#VALUE!</v>
      </c>
      <c r="S110" s="2" t="str">
        <f t="shared" si="32"/>
        <v>N</v>
      </c>
      <c r="T110" s="2" t="b">
        <f t="shared" si="38"/>
        <v>0</v>
      </c>
      <c r="U110" s="2" t="b">
        <f t="shared" si="33"/>
        <v>0</v>
      </c>
      <c r="V110" s="2" t="b">
        <f t="shared" si="39"/>
        <v>0</v>
      </c>
    </row>
    <row r="111" spans="1:24" x14ac:dyDescent="0.25">
      <c r="A111" s="34">
        <v>44456</v>
      </c>
      <c r="B111" s="4"/>
      <c r="C111" s="5" t="str">
        <f t="shared" si="36"/>
        <v/>
      </c>
      <c r="D111" s="4" t="str">
        <f t="shared" si="25"/>
        <v/>
      </c>
      <c r="E111" s="4">
        <f t="shared" si="34"/>
        <v>80</v>
      </c>
      <c r="F111" s="34" t="e">
        <f t="shared" si="35"/>
        <v>#VALUE!</v>
      </c>
      <c r="G111" s="4" t="str">
        <f t="shared" si="22"/>
        <v/>
      </c>
      <c r="H111" s="5" t="str">
        <f t="shared" si="37"/>
        <v/>
      </c>
      <c r="I111" s="4"/>
      <c r="J111" s="2" t="str">
        <f t="shared" si="26"/>
        <v/>
      </c>
      <c r="K111" s="24" t="e">
        <f t="shared" si="27"/>
        <v>#VALUE!</v>
      </c>
      <c r="L111" s="24" t="e">
        <f t="shared" si="28"/>
        <v>#VALUE!</v>
      </c>
      <c r="M111" s="24" t="e">
        <f t="shared" si="29"/>
        <v>#VALUE!</v>
      </c>
      <c r="O111" s="34" t="e">
        <f t="shared" si="23"/>
        <v>#VALUE!</v>
      </c>
      <c r="P111" s="2" t="e">
        <f t="shared" si="24"/>
        <v>#VALUE!</v>
      </c>
      <c r="Q111" s="2" t="e">
        <f t="shared" si="30"/>
        <v>#VALUE!</v>
      </c>
      <c r="R111" s="2" t="e">
        <f t="shared" si="31"/>
        <v>#VALUE!</v>
      </c>
      <c r="S111" s="2" t="str">
        <f t="shared" si="32"/>
        <v>N</v>
      </c>
      <c r="T111" s="2" t="b">
        <f t="shared" si="38"/>
        <v>0</v>
      </c>
      <c r="U111" s="2" t="b">
        <f t="shared" si="33"/>
        <v>0</v>
      </c>
      <c r="V111" s="2" t="b">
        <f t="shared" si="39"/>
        <v>0</v>
      </c>
    </row>
    <row r="112" spans="1:24" x14ac:dyDescent="0.25">
      <c r="A112" s="34">
        <v>44463</v>
      </c>
      <c r="B112" s="4"/>
      <c r="C112" s="5" t="str">
        <f t="shared" si="36"/>
        <v/>
      </c>
      <c r="D112" s="4" t="str">
        <f t="shared" si="25"/>
        <v/>
      </c>
      <c r="E112" s="4">
        <f t="shared" si="34"/>
        <v>80</v>
      </c>
      <c r="F112" s="34" t="e">
        <f t="shared" si="35"/>
        <v>#VALUE!</v>
      </c>
      <c r="G112" s="4" t="str">
        <f t="shared" si="22"/>
        <v/>
      </c>
      <c r="H112" s="5" t="str">
        <f t="shared" si="37"/>
        <v/>
      </c>
      <c r="I112" s="4"/>
      <c r="J112" s="2" t="str">
        <f t="shared" si="26"/>
        <v/>
      </c>
      <c r="K112" s="24" t="e">
        <f t="shared" si="27"/>
        <v>#VALUE!</v>
      </c>
      <c r="L112" s="24" t="e">
        <f t="shared" si="28"/>
        <v>#VALUE!</v>
      </c>
      <c r="M112" s="24" t="e">
        <f t="shared" si="29"/>
        <v>#VALUE!</v>
      </c>
      <c r="O112" s="34" t="e">
        <f t="shared" si="23"/>
        <v>#VALUE!</v>
      </c>
      <c r="P112" s="2" t="e">
        <f t="shared" si="24"/>
        <v>#VALUE!</v>
      </c>
      <c r="Q112" s="2" t="e">
        <f t="shared" si="30"/>
        <v>#VALUE!</v>
      </c>
      <c r="R112" s="2" t="e">
        <f t="shared" si="31"/>
        <v>#VALUE!</v>
      </c>
      <c r="S112" s="2" t="str">
        <f t="shared" si="32"/>
        <v>N</v>
      </c>
      <c r="T112" s="2" t="b">
        <f t="shared" si="38"/>
        <v>0</v>
      </c>
      <c r="U112" s="2" t="b">
        <f t="shared" si="33"/>
        <v>0</v>
      </c>
      <c r="V112" s="2" t="b">
        <f t="shared" si="39"/>
        <v>0</v>
      </c>
    </row>
    <row r="113" spans="1:24" x14ac:dyDescent="0.25">
      <c r="A113" s="34">
        <v>44470</v>
      </c>
      <c r="B113" s="4"/>
      <c r="C113" s="5" t="str">
        <f t="shared" si="36"/>
        <v/>
      </c>
      <c r="D113" s="4" t="str">
        <f t="shared" si="25"/>
        <v/>
      </c>
      <c r="E113" s="4">
        <f t="shared" si="34"/>
        <v>80</v>
      </c>
      <c r="F113" s="34" t="e">
        <f t="shared" si="35"/>
        <v>#VALUE!</v>
      </c>
      <c r="G113" s="4" t="str">
        <f t="shared" si="22"/>
        <v/>
      </c>
      <c r="H113" s="5" t="str">
        <f t="shared" si="37"/>
        <v/>
      </c>
      <c r="I113" s="4"/>
      <c r="J113" s="2" t="str">
        <f t="shared" si="26"/>
        <v/>
      </c>
      <c r="K113" s="24" t="e">
        <f t="shared" si="27"/>
        <v>#VALUE!</v>
      </c>
      <c r="L113" s="24" t="e">
        <f t="shared" si="28"/>
        <v>#VALUE!</v>
      </c>
      <c r="M113" s="24" t="e">
        <f t="shared" si="29"/>
        <v>#VALUE!</v>
      </c>
      <c r="O113" s="34" t="e">
        <f t="shared" si="23"/>
        <v>#VALUE!</v>
      </c>
      <c r="P113" s="2" t="e">
        <f t="shared" si="24"/>
        <v>#VALUE!</v>
      </c>
      <c r="Q113" s="2" t="e">
        <f t="shared" si="30"/>
        <v>#VALUE!</v>
      </c>
      <c r="R113" s="2" t="e">
        <f t="shared" si="31"/>
        <v>#VALUE!</v>
      </c>
      <c r="S113" s="2" t="str">
        <f t="shared" si="32"/>
        <v>N</v>
      </c>
      <c r="T113" s="2" t="b">
        <f t="shared" si="38"/>
        <v>0</v>
      </c>
      <c r="U113" s="2" t="b">
        <f t="shared" si="33"/>
        <v>0</v>
      </c>
      <c r="V113" s="2" t="b">
        <f t="shared" si="39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2"/>
        <v/>
      </c>
      <c r="H114" s="5"/>
      <c r="I114" s="4"/>
      <c r="J114" s="2" t="str">
        <f>(IF(I114="","",I114))</f>
        <v/>
      </c>
      <c r="K114" s="24" t="e">
        <f t="shared" si="27"/>
        <v>#VALUE!</v>
      </c>
      <c r="L114" s="24" t="e">
        <f t="shared" si="28"/>
        <v>#VALUE!</v>
      </c>
      <c r="M114" s="24" t="e">
        <f t="shared" si="29"/>
        <v>#VALUE!</v>
      </c>
      <c r="O114" s="34" t="e">
        <f t="shared" si="23"/>
        <v>#VALUE!</v>
      </c>
      <c r="P114" s="2" t="e">
        <f t="shared" si="24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8"/>
        <v>0</v>
      </c>
      <c r="U114" s="2" t="b">
        <f>ISTEXT(O114)</f>
        <v>0</v>
      </c>
      <c r="V114" s="2" t="b">
        <f t="shared" si="39"/>
        <v>0</v>
      </c>
    </row>
    <row r="115" spans="1:24" x14ac:dyDescent="0.25">
      <c r="A115" s="34">
        <v>43721</v>
      </c>
      <c r="B115" s="4"/>
      <c r="C115" s="5"/>
      <c r="D115" s="4" t="str">
        <f t="shared" ref="D115" si="40">IF(I115="","",B115+D114)</f>
        <v/>
      </c>
      <c r="E115" s="4">
        <f>IF(I115&lt;&gt;"",IF(D116="",D115+$C$2,""),E114+$C$2)</f>
        <v>0</v>
      </c>
      <c r="F115" s="34"/>
      <c r="G115" s="4" t="str">
        <f t="shared" si="22"/>
        <v/>
      </c>
      <c r="H115" s="5"/>
      <c r="I115" s="4"/>
      <c r="J115" s="2" t="str">
        <f t="shared" ref="J115" si="41">(IF(I115="","",I115+J114))</f>
        <v/>
      </c>
      <c r="K115" s="24" t="e">
        <f t="shared" si="27"/>
        <v>#VALUE!</v>
      </c>
      <c r="L115" s="24" t="e">
        <f t="shared" si="28"/>
        <v>#VALUE!</v>
      </c>
      <c r="M115" s="24" t="e">
        <f t="shared" si="29"/>
        <v>#VALUE!</v>
      </c>
      <c r="O115" s="34" t="e">
        <f t="shared" si="23"/>
        <v>#VALUE!</v>
      </c>
      <c r="P115" s="2" t="e">
        <f t="shared" si="24"/>
        <v>#VALUE!</v>
      </c>
      <c r="Q115" s="2" t="e">
        <f t="shared" ref="Q115" si="42">IF(K115&gt;E115,"Y","N")</f>
        <v>#VALUE!</v>
      </c>
      <c r="R115" s="2" t="e">
        <f t="shared" ref="R115" si="43">IF(M115&gt;E115,"Y","N")</f>
        <v>#VALUE!</v>
      </c>
      <c r="S115" s="2" t="str">
        <f t="shared" ref="S115" si="44">IF(AND(ISBLANK(I116),NOT(ISBLANK(I115))),"Y","N")</f>
        <v>N</v>
      </c>
      <c r="T115" s="2" t="b">
        <f t="shared" si="38"/>
        <v>0</v>
      </c>
      <c r="U115" s="2" t="b">
        <f t="shared" ref="U115" si="45">ISTEXT(O115)</f>
        <v>0</v>
      </c>
      <c r="V115" s="2" t="b">
        <f t="shared" si="39"/>
        <v>0</v>
      </c>
      <c r="X115" s="1">
        <v>1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3F72D74-F272-4D72-8430-D7C0D85DA507}">
  <ds:schemaRefs>
    <ds:schemaRef ds:uri="http://purl.org/dc/elements/1.1/"/>
    <ds:schemaRef ds:uri="http://schemas.microsoft.com/office/2006/documentManagement/types"/>
    <ds:schemaRef ds:uri="http://purl.org/dc/terms/"/>
    <ds:schemaRef ds:uri="09FF7C15-C72B-4FD5-99E9-B2C97BC568FD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Stories Done</vt:lpstr>
      <vt:lpstr>Weekly Throughput</vt:lpstr>
      <vt:lpstr>Chart_Data_Sheet</vt:lpstr>
      <vt:lpstr>GWIPP2_01</vt:lpstr>
      <vt:lpstr>Weekly Throughput (2)</vt:lpstr>
      <vt:lpstr>Publish</vt:lpstr>
      <vt:lpstr>'Weekly Throughput (2)'!AverageVelocity</vt:lpstr>
      <vt:lpstr>AverageVelocity</vt:lpstr>
      <vt:lpstr>Chart_TP_Data</vt:lpstr>
      <vt:lpstr>'Weekly Throughput (2)'!Growth</vt:lpstr>
      <vt:lpstr>Growth</vt:lpstr>
      <vt:lpstr>'Weekly Throughput (2)'!Historic_Growth</vt:lpstr>
      <vt:lpstr>Historic_Growth</vt:lpstr>
      <vt:lpstr>'Weekly Throughput (2)'!InitialScope</vt:lpstr>
      <vt:lpstr>InitialScope</vt:lpstr>
      <vt:lpstr>'Weekly Throughput (2)'!myStdDev</vt:lpstr>
      <vt:lpstr>myStdDev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Patrick McDevitt</cp:lastModifiedBy>
  <cp:lastPrinted>2019-09-19T19:51:43Z</cp:lastPrinted>
  <dcterms:created xsi:type="dcterms:W3CDTF">2012-12-11T18:05:32Z</dcterms:created>
  <dcterms:modified xsi:type="dcterms:W3CDTF">2019-09-27T00:40:26Z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